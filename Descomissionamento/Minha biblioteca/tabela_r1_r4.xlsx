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aTex_Projects\Descomissionamento\Minha biblioteca\"/>
    </mc:Choice>
  </mc:AlternateContent>
  <xr:revisionPtr revIDLastSave="0" documentId="13_ncr:1_{A4A82704-98FC-445D-BE76-EF078DEDE1DD}" xr6:coauthVersionLast="47" xr6:coauthVersionMax="47" xr10:uidLastSave="{00000000-0000-0000-0000-000000000000}"/>
  <bookViews>
    <workbookView xWindow="-108" yWindow="-108" windowWidth="23256" windowHeight="12456" activeTab="3" xr2:uid="{00000000-000D-0000-FFFF-FFFF00000000}"/>
  </bookViews>
  <sheets>
    <sheet name="Resumo" sheetId="1" r:id="rId1"/>
    <sheet name="Triagem_de_docs" sheetId="2" r:id="rId2"/>
    <sheet name="Metadados" sheetId="3" r:id="rId3"/>
    <sheet name="Legend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3" l="1"/>
  <c r="P25" i="3"/>
  <c r="Q24" i="3"/>
  <c r="P24" i="3"/>
  <c r="Q23" i="3"/>
  <c r="P23" i="3"/>
  <c r="Q22" i="3"/>
  <c r="P22" i="3"/>
  <c r="Q21" i="3"/>
  <c r="P21" i="3"/>
  <c r="Q20" i="3"/>
  <c r="P20" i="3"/>
  <c r="Q19" i="3"/>
  <c r="P19" i="3"/>
  <c r="Q18" i="3"/>
  <c r="P18" i="3"/>
  <c r="Q17" i="3"/>
  <c r="P17" i="3"/>
  <c r="Q16" i="3"/>
  <c r="P16" i="3"/>
  <c r="Q15" i="3"/>
  <c r="P15" i="3"/>
  <c r="Q14" i="3"/>
  <c r="P14" i="3"/>
  <c r="Q13" i="3"/>
  <c r="P13" i="3"/>
  <c r="Q12" i="3"/>
  <c r="P12" i="3"/>
  <c r="Q11" i="3"/>
  <c r="P11" i="3"/>
  <c r="Q10" i="3"/>
  <c r="P10" i="3"/>
  <c r="Q9" i="3"/>
  <c r="P9" i="3"/>
  <c r="Q8" i="3"/>
  <c r="P8" i="3"/>
  <c r="Q7" i="3"/>
  <c r="P7" i="3"/>
  <c r="Q6" i="3"/>
  <c r="P6" i="3"/>
  <c r="Q5" i="3"/>
  <c r="P5" i="3"/>
  <c r="L25" i="2"/>
  <c r="J25" i="2"/>
  <c r="L24" i="2"/>
  <c r="J24" i="2"/>
  <c r="L23" i="2"/>
  <c r="J23" i="2"/>
  <c r="L22" i="2"/>
  <c r="J22" i="2"/>
  <c r="L21" i="2"/>
  <c r="J21" i="2"/>
  <c r="L20" i="2"/>
  <c r="J20" i="2"/>
  <c r="L19" i="2"/>
  <c r="J19" i="2"/>
  <c r="L18" i="2"/>
  <c r="J18" i="2"/>
  <c r="L17" i="2"/>
  <c r="J17" i="2"/>
  <c r="L16" i="2"/>
  <c r="J16" i="2"/>
  <c r="L15" i="2"/>
  <c r="J15" i="2"/>
  <c r="L14" i="2"/>
  <c r="J14" i="2"/>
  <c r="L13" i="2"/>
  <c r="J13" i="2"/>
  <c r="L12" i="2"/>
  <c r="J12" i="2"/>
  <c r="L11" i="2"/>
  <c r="J11" i="2"/>
  <c r="L10" i="2"/>
  <c r="J10" i="2"/>
  <c r="L9" i="2"/>
  <c r="J9" i="2"/>
  <c r="L8" i="2"/>
  <c r="J8" i="2"/>
  <c r="L7" i="2"/>
  <c r="J7" i="2"/>
  <c r="L6" i="2"/>
  <c r="J6" i="2"/>
  <c r="L5" i="2"/>
  <c r="J5" i="2"/>
  <c r="B8" i="1" s="1"/>
  <c r="B17" i="1"/>
  <c r="B16" i="1"/>
  <c r="B15" i="1"/>
  <c r="B14" i="1"/>
  <c r="B13" i="1"/>
  <c r="B9" i="1"/>
  <c r="B7" i="1"/>
  <c r="B5" i="1"/>
  <c r="B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4" authorId="0" shapeId="0" xr:uid="{00000000-0006-0000-0100-000001000000}">
      <text>
        <r>
          <rPr>
            <sz val="11"/>
            <color theme="1"/>
            <rFont val="Calibri"/>
            <family val="2"/>
            <scheme val="minor"/>
          </rPr>
          <t>R1 = aderência ao recorte. 3 = alta; 2 = parcial; 1 = periférica.</t>
        </r>
      </text>
    </comment>
    <comment ref="G4" authorId="0" shapeId="0" xr:uid="{00000000-0006-0000-0100-000002000000}">
      <text>
        <r>
          <rPr>
            <sz val="11"/>
            <color theme="1"/>
            <rFont val="Calibri"/>
            <family val="2"/>
            <scheme val="minor"/>
          </rPr>
          <t>R3 = aplicabilidade inferida do item (subsea, pipelines, plataformas etc.).</t>
        </r>
      </text>
    </comment>
    <comment ref="H4" authorId="0" shapeId="0" xr:uid="{00000000-0006-0000-0100-000003000000}">
      <text>
        <r>
          <rPr>
            <sz val="11"/>
            <color theme="1"/>
            <rFont val="Calibri"/>
            <family val="2"/>
            <scheme val="minor"/>
          </rPr>
          <t>R4 = utilidade principal no capítulo: método, comparação regulatória, contexto teórico ou evidência ambiental.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J4" authorId="0" shapeId="0" xr:uid="{00000000-0006-0000-0200-000001000000}">
      <text>
        <r>
          <rPr>
            <sz val="11"/>
            <color theme="1"/>
            <rFont val="Calibri"/>
            <family val="2"/>
            <scheme val="minor"/>
          </rPr>
          <t>R1 = aderência ao recorte do capítulo.</t>
        </r>
      </text>
    </comment>
    <comment ref="M4" authorId="0" shapeId="0" xr:uid="{00000000-0006-0000-0200-000002000000}">
      <text>
        <r>
          <rPr>
            <sz val="11"/>
            <color theme="1"/>
            <rFont val="Calibri"/>
            <family val="2"/>
            <scheme val="minor"/>
          </rPr>
          <t>R3 = aplicabilidade inferida a partir de título, resumo, palavras-chave e metadados do RIS.</t>
        </r>
      </text>
    </comment>
  </commentList>
</comments>
</file>

<file path=xl/sharedStrings.xml><?xml version="1.0" encoding="utf-8"?>
<sst xmlns="http://schemas.openxmlformats.org/spreadsheetml/2006/main" count="496" uniqueCount="214">
  <si>
    <t>Métrica</t>
  </si>
  <si>
    <t>Valor</t>
  </si>
  <si>
    <t>Como interpretar</t>
  </si>
  <si>
    <t>Total de registros</t>
  </si>
  <si>
    <t>Prioridade alta</t>
  </si>
  <si>
    <t>Prioridade média</t>
  </si>
  <si>
    <t>Apoio analítico/comparativo</t>
  </si>
  <si>
    <t>Prioridade baixa</t>
  </si>
  <si>
    <t>Periféricos ao recorte</t>
  </si>
  <si>
    <t>Cadastros a conferir</t>
  </si>
  <si>
    <t>Registros web/proxy ou metadados incompletos</t>
  </si>
  <si>
    <t>Distribuição por R3</t>
  </si>
  <si>
    <t>Categoria R3</t>
  </si>
  <si>
    <t>Qtd.</t>
  </si>
  <si>
    <t>Leitura</t>
  </si>
  <si>
    <t>Plataformas / instalações offshore</t>
  </si>
  <si>
    <t>Itens centrados em plataformas/instalações</t>
  </si>
  <si>
    <t>Ativos subsea</t>
  </si>
  <si>
    <t>Itens de equipamentos/ativos submarinos</t>
  </si>
  <si>
    <t>Pipelines / flowlines</t>
  </si>
  <si>
    <t>Itens de dutos/flowlines</t>
  </si>
  <si>
    <t>Geral offshore</t>
  </si>
  <si>
    <t>Itens amplos, sem foco técnico único</t>
  </si>
  <si>
    <t>Navios / embarcações</t>
  </si>
  <si>
    <t>Temas adjacentes, mais periféricos ao recorte</t>
  </si>
  <si>
    <t>Limitação</t>
  </si>
  <si>
    <t>Como a base foi o arquivo .ris, alguns itens ainda exigem conferência manual de autores, ano, veículo e DOI.</t>
  </si>
  <si>
    <t>Triagem clara — visão rápida</t>
  </si>
  <si>
    <t>ID RIS</t>
  </si>
  <si>
    <t>Referência curta</t>
  </si>
  <si>
    <t>Título</t>
  </si>
  <si>
    <t>Ano</t>
  </si>
  <si>
    <t>R1</t>
  </si>
  <si>
    <t>R2</t>
  </si>
  <si>
    <t>R3</t>
  </si>
  <si>
    <t>R4</t>
  </si>
  <si>
    <t>Geografia</t>
  </si>
  <si>
    <t>Prioridade</t>
  </si>
  <si>
    <t>Consideração principal</t>
  </si>
  <si>
    <t>Conferir cadastro?</t>
  </si>
  <si>
    <t>DOI / URL</t>
  </si>
  <si>
    <t>Marchetti et al. (2025)</t>
  </si>
  <si>
    <t>Energy Implications and Environmental Analysis of Oil Rigs Decommissioning Options Using LCA Methodology</t>
  </si>
  <si>
    <t>Artigo</t>
  </si>
  <si>
    <t>M</t>
  </si>
  <si>
    <t>Internacional / não explícito</t>
  </si>
  <si>
    <t>Bom para trade-offs energéticos e ambientais.</t>
  </si>
  <si>
    <t>https://doi.org/10.3390/en18133372</t>
  </si>
  <si>
    <t>Zawawi et al. (2023)</t>
  </si>
  <si>
    <t>Environmental Sustainability and Efficiency of Offshore Platform Decommissioning: A Review</t>
  </si>
  <si>
    <t>Revisão</t>
  </si>
  <si>
    <t>EA / CT</t>
  </si>
  <si>
    <t>Malásia</t>
  </si>
  <si>
    <t>Ajuda bastante na parte de ativos subsea.</t>
  </si>
  <si>
    <t>https://doi.org/10.3390/su151712757</t>
  </si>
  <si>
    <t>Efthymiou (2022)</t>
  </si>
  <si>
    <t>Decommissioning of Offshore Oil and Gas Installations</t>
  </si>
  <si>
    <t>Capítulo</t>
  </si>
  <si>
    <t>D / CT</t>
  </si>
  <si>
    <t>Item de apoio útil; a utilidade exata depende da profundidade que você der ao tema no capítulo.</t>
  </si>
  <si>
    <t>https://link.springer.com/rwe/10.1007/978-981-10-6946-8_230</t>
  </si>
  <si>
    <t>Frontiers | Benthic Conservation Features and S...</t>
  </si>
  <si>
    <t>Frontiers | Benthic Conservation Features and Species Associated With Subsea Pipelines: Considerations for Decommissioning</t>
  </si>
  <si>
    <t>Recurso web / metadado incompleto</t>
  </si>
  <si>
    <t>Relevante para dutos/flowlines e opções leave-in-situ versus remoção.</t>
  </si>
  <si>
    <t>https://www.frontiersin.org/journals/marine-science/articles/10.3389/fmars.2019.00200/full</t>
  </si>
  <si>
    <t>Rouse et al. (2018)</t>
  </si>
  <si>
    <t>Offshore pipeline decommissioning: Scale and context</t>
  </si>
  <si>
    <t>Mar do Norte</t>
  </si>
  <si>
    <t>Bom para comparação com o Mar do Norte.</t>
  </si>
  <si>
    <t>https://doi.org/10.1016/j.marpolbul.2018.02.041</t>
  </si>
  <si>
    <t>Yellice &amp; ULiège &gt; (2018)</t>
  </si>
  <si>
    <t>Towards a Decision Tool for Decommissioning of Sub Sea Assets of Oil-Gas Platforms in Brazil</t>
  </si>
  <si>
    <t>Tese / dissertação</t>
  </si>
  <si>
    <t>CR / D</t>
  </si>
  <si>
    <t>Brasil</t>
  </si>
  <si>
    <t>Muito útil para o contexto brasileiro.</t>
  </si>
  <si>
    <t>https://matheo.uliege.be/handle/2268.2/6081</t>
  </si>
  <si>
    <t>Manouchehri (2017)</t>
  </si>
  <si>
    <t>Subsea Pipelines and Flowlines Decommissioning: What We Should Know for a Rational Approach</t>
  </si>
  <si>
    <t>Conferência</t>
  </si>
  <si>
    <t>https://doi.org/10.1115/OMAE2017-61239</t>
  </si>
  <si>
    <t>Decommissioning Pipelines and Subsea Equipment:...</t>
  </si>
  <si>
    <t>Decommissioning Pipelines and Subsea Equipment: Legislative Issue...: Ingenta Connect</t>
  </si>
  <si>
    <t>https://www.ingentaconnect.com/content/sut/unwt/2002/00000025/00000002/art00012</t>
  </si>
  <si>
    <t>Ruivo (2001)</t>
  </si>
  <si>
    <t>Descomissionamento de sistemas de produção offshore</t>
  </si>
  <si>
    <t>Dissertação / relatório</t>
  </si>
  <si>
    <t>CT</t>
  </si>
  <si>
    <t>http://repositorio.unicamp.br/acervo/detalhe/225364</t>
  </si>
  <si>
    <t>A New Multi-Criteria Decision-Making Tool for S...</t>
  </si>
  <si>
    <t>A New Multi-Criteria Decision-Making Tool for Subsea Oil and Gas Asset Decommissioning | J. Offshore Mech. Arct. Eng. | ASME Digital Collection</t>
  </si>
  <si>
    <t>https://asmedigitalcollection.asme.org/offshoremechanics/article-abstract/147/5/051401/1210902/A-New-Multi-Criteria-Decision-Making-Tool-for</t>
  </si>
  <si>
    <t>ANALYSING THE LEGAL AND REGULATORY FRAMEWORK FO...</t>
  </si>
  <si>
    <t>ANALYSING THE LEGAL AND REGULATORY FRAMEWORK FOR DECOMMISSIONING OFFSHORE PLATFORMS: A COMPARISON BETWEEN BRAZIL (BR) AND THE UNITED KINGDOM (UK) - ProQuest</t>
  </si>
  <si>
    <t>https://www.proquest.com/openview/d23ebf3711d4d75a601eda81955810a1/1?pq-origsite=gscholar&amp;cbl=2031968</t>
  </si>
  <si>
    <t>Decommissioning of Subsea Facilities | Springer...</t>
  </si>
  <si>
    <t>Decommissioning of Subsea Facilities | Springer Nature Link</t>
  </si>
  <si>
    <t>https://link.springer.com/rwe/10.1007/978-981-10-6946-8_169</t>
  </si>
  <si>
    <t>Enhancing Sustainability Using Multi-Criteria D...</t>
  </si>
  <si>
    <t>Enhancing Sustainability Using Multi-Criteria Decision Making in Subsea Decommissioning | OTC Offshore Technology Conference | OnePetro</t>
  </si>
  <si>
    <t>https://onepetro.org/OTCONF/proceedings-abstract/24OTC/3-24OTC/D031S039R001/544853</t>
  </si>
  <si>
    <t>Market Dynamics and Opportunities in Decommissi...</t>
  </si>
  <si>
    <t>Market Dynamics and Opportunities in Decommissioning in Brazil | Offshore Technology Conference Brasil | OnePetro</t>
  </si>
  <si>
    <t>https://onepetro.org/OTCBRASIL/proceedings-abstract/25OTCB/25OTCB/792308</t>
  </si>
  <si>
    <t>Ruivo &amp; Morooka</t>
  </si>
  <si>
    <t>DISCUSSING DECOMMISSIONING OFFSHORE PRODUCTION INSTALLATIONS</t>
  </si>
  <si>
    <t>https://dx.doi.org/</t>
  </si>
  <si>
    <t>Fam et al. (2021)</t>
  </si>
  <si>
    <t>Data learning and expert judgment in a Bayesian belief network for aiding human reliability assessment in offshore decommissioning risk assessment</t>
  </si>
  <si>
    <t>Pode apoiar discussão de risco e confiabilidade humana.</t>
  </si>
  <si>
    <t>https://doi.org/10.1016/j.joes.2020.09.001</t>
  </si>
  <si>
    <t>Du et al. (2018)</t>
  </si>
  <si>
    <t>Hazardous materials analysis and disposal procedures during ship recycling</t>
  </si>
  <si>
    <t>Use só como analogia de reciclagem/HSE, não como eixo do capítulo.</t>
  </si>
  <si>
    <t>https://doi.org/10.1016/j.resconrec.2018.01.006</t>
  </si>
  <si>
    <t>Hiremath et al. (2016)</t>
  </si>
  <si>
    <t>Development of ship-specific recycling plan to improve health safety and environment in ship recycling yards</t>
  </si>
  <si>
    <t>Índia</t>
  </si>
  <si>
    <t>Bom candidato para comparação regulatória.</t>
  </si>
  <si>
    <t>https://doi.org/10.1016/j.jclepro.2016.01.006</t>
  </si>
  <si>
    <t>Discussing decommissioning Offshore Production ...</t>
  </si>
  <si>
    <t>Discussing decommissioning Offshore Production Installations - Google Acadêmico</t>
  </si>
  <si>
    <t>Cadastro do RIS incompleto; convém completar autores, ano e veículo antes da versão final.</t>
  </si>
  <si>
    <t>https://scholar.google.com/scholar?start=30&amp;q=Discussing+decommissioning+Offshore+Production+Installations&amp;hl=pt-BR&amp;as_sdt=0,5&amp;scilib=1</t>
  </si>
  <si>
    <t>Passos &amp; de Aguiar</t>
  </si>
  <si>
    <t>Decarbonization in Offshore Services: A Study on Efficiency and Emissions Reduction</t>
  </si>
  <si>
    <t>https://dx.doi.org/10.4043/35367-MS</t>
  </si>
  <si>
    <t>Terminal RI - Sophia Biblioteca Web</t>
  </si>
  <si>
    <t>Aba completa, mas reorganizada em uma ordem mais intuitiva: identificação da referência, critérios R1–R4 e observações.</t>
  </si>
  <si>
    <t>Tipo RIS</t>
  </si>
  <si>
    <t>Autores</t>
  </si>
  <si>
    <t>Fonte / veículo</t>
  </si>
  <si>
    <t>R1 — justificativa</t>
  </si>
  <si>
    <t>Considerações</t>
  </si>
  <si>
    <t>CONF</t>
  </si>
  <si>
    <t>Passos, R. B.; de Aguiar, R. B.</t>
  </si>
  <si>
    <t>onepetro.org</t>
  </si>
  <si>
    <t>Tema adjacente; não trata do núcleo do descomissionamento offshore de plataformas/subsea/pipelines.</t>
  </si>
  <si>
    <t>Muito útil para o contexto brasileiro. Ajuda bastante na parte de ativos subsea. Serve como porta de entrada do estado da arte.</t>
  </si>
  <si>
    <t>ELEC</t>
  </si>
  <si>
    <t>Entrada do RIS parece ser um resultado do Google Scholar, não a referência bibliográfica final.</t>
  </si>
  <si>
    <t>Cadastro do RIS incompleto; convém completar autores, ano e veículo antes da versão final. Este item parece ser apenas página intermediária/resultado de busca.</t>
  </si>
  <si>
    <t>JOUR</t>
  </si>
  <si>
    <t>Hiremath, Anand M.; Pandey, Sachin Kumar; Asolekar, Shyam R.</t>
  </si>
  <si>
    <t>Journal of Cleaner Production</t>
  </si>
  <si>
    <t>Bom candidato para comparação regulatória. Pode apoiar discussão de risco e confiabilidade humana. Use só como analogia de reciclagem/HSE, não como eixo do capítulo.</t>
  </si>
  <si>
    <t>Du, Zunfeng; Zhang, Sen; Zhou, Qingji; Yuen, Kum Fai; Wong, Yiik Diew</t>
  </si>
  <si>
    <t>Resources, Conservation and Recycling</t>
  </si>
  <si>
    <t>Fam, Mei Ling; Konovessis, Dimitrios; He, XuHong; Ong, Lin Seng</t>
  </si>
  <si>
    <t>Journal of Ocean Engineering and Science</t>
  </si>
  <si>
    <t>Relevante para descomissionamento offshore, mas sem aderência total ao recorte específico.</t>
  </si>
  <si>
    <t>Ligação direta com descomissionamento offshore e com o recorte técnico/regulatório do capítulo.</t>
  </si>
  <si>
    <t>Relevante para dutos/flowlines e opções leave-in-situ versus remoção. Cadastro do RIS incompleto; convém completar autores, ano e veículo antes da versão final.</t>
  </si>
  <si>
    <t>Yellice, Semih; ULiège &gt;, Université de Liège-</t>
  </si>
  <si>
    <t>matheo.uliege.be</t>
  </si>
  <si>
    <t>Muito útil para o contexto brasileiro. Ajuda bastante na parte de ativos subsea. Bom candidato para comparação regulatória. Útil para método ou matriz decisória.</t>
  </si>
  <si>
    <t>Ajuda bastante na parte de ativos subsea. Útil para método ou matriz decisória. Cadastro do RIS incompleto; convém completar autores, ano e veículo antes da versão final.</t>
  </si>
  <si>
    <t>Ajuda bastante na parte de ativos subsea. Cadastro do RIS incompleto; convém completar autores, ano e veículo antes da versão final.</t>
  </si>
  <si>
    <t>Muito útil para o contexto brasileiro. Bom candidato para comparação regulatória. Cadastro do RIS incompleto; convém completar autores, ano e veículo antes da versão final.</t>
  </si>
  <si>
    <t>RPRT</t>
  </si>
  <si>
    <t>Ruivo, Fabio de Moraes</t>
  </si>
  <si>
    <t>repositorio.unicamp.br</t>
  </si>
  <si>
    <t>Obra diretamente focada em descomissionamento de sistemas de produção offshore.</t>
  </si>
  <si>
    <t>Registro de catálogo/repositório, não a obra bibliográfica em si.</t>
  </si>
  <si>
    <t>Manouchehri, Soheil</t>
  </si>
  <si>
    <t>asmedigitalcollection.asme.org</t>
  </si>
  <si>
    <t>Relevante para dutos/flowlines e opções leave-in-situ versus remoção. Bom candidato para comparação regulatória.</t>
  </si>
  <si>
    <t>Rouse, Sally; Hayes, Peter; Davies, Ian M.; Wilding, Thomas A.</t>
  </si>
  <si>
    <t>Marine Pollution Bulletin</t>
  </si>
  <si>
    <t>Bom para comparação com o Mar do Norte. Relevante para dutos/flowlines e opções leave-in-situ versus remoção.</t>
  </si>
  <si>
    <t>Muito útil para o contexto brasileiro. Cadastro do RIS incompleto; convém completar autores, ano e veículo antes da versão final.</t>
  </si>
  <si>
    <t>Relevante para dutos/flowlines e opções leave-in-situ versus remoção. Bom candidato para comparação regulatória. Cadastro do RIS incompleto; convém completar autores, ano e veículo antes da versão final.</t>
  </si>
  <si>
    <t>Marchetti, Barbara; Corvaro, Francesco; Rossi, Marta</t>
  </si>
  <si>
    <t>Energies</t>
  </si>
  <si>
    <t>Zawawi, Noor Amila Wan Abdullah; Danyaro, Kamaluddeen Usman; Liew, M. S.; Shawn, Lim Eu</t>
  </si>
  <si>
    <t>Sustainability</t>
  </si>
  <si>
    <t>Ajuda bastante na parte de ativos subsea. Serve como porta de entrada do estado da arte.</t>
  </si>
  <si>
    <t>CHAP</t>
  </si>
  <si>
    <t>Efthymiou, Mike</t>
  </si>
  <si>
    <t>Encyclopedia of Ocean Engineering</t>
  </si>
  <si>
    <t>Ruivo, F. M.; Morooka, C. K.</t>
  </si>
  <si>
    <t>Muito útil para o contexto brasileiro. Bom para comparação com o Mar do Norte. Serve como porta de entrada do estado da arte.</t>
  </si>
  <si>
    <t>Legenda dos critérios R1–R4</t>
  </si>
  <si>
    <t>Significado</t>
  </si>
  <si>
    <t>Como usar</t>
  </si>
  <si>
    <t>3</t>
  </si>
  <si>
    <t>Alta aderência ao recorte</t>
  </si>
  <si>
    <t>Ler primeiro; tende a entrar no núcleo do capítulo</t>
  </si>
  <si>
    <t>2</t>
  </si>
  <si>
    <t>Aderência parcial</t>
  </si>
  <si>
    <t>Usar como apoio, comparação ou método</t>
  </si>
  <si>
    <t>1</t>
  </si>
  <si>
    <t>Periférico</t>
  </si>
  <si>
    <t>Usar só se agregar contexto lateral</t>
  </si>
  <si>
    <t>Artigo / Revisão / Capítulo / Conferência / Dissertação / Web</t>
  </si>
  <si>
    <t>Tipo de evidência</t>
  </si>
  <si>
    <t>Ajuda a calibrar o peso bibliográfico</t>
  </si>
  <si>
    <t>Plataformas / Ativos subsea / Pipelines / Navios / Geral offshore</t>
  </si>
  <si>
    <t>Aplicabilidade inferida</t>
  </si>
  <si>
    <t>Mostra em que tipo de ativo/escopo o item ajuda mais</t>
  </si>
  <si>
    <t>M / CR-D / EA-CT / D-CT / CT</t>
  </si>
  <si>
    <t>Utilidade principal no capítulo</t>
  </si>
  <si>
    <t>M = método; CR/D = comparação regulatória/definição; EA/CT = evidência ambiental/contexto teórico</t>
  </si>
  <si>
    <t>Definições resumidas para orientar o uso da planilha.</t>
  </si>
  <si>
    <t>Uma ve</t>
  </si>
  <si>
    <t>Revelvância</t>
  </si>
  <si>
    <t>Primeirameramente encontrei artigos no Google Acadêmico. Critérios R1 até R4 foram aplicados (estes critérios estão detalhados na aba Legenda). 
Na sequência, os artigos foram classificados em grupos de relevância para o meu trabalho.
Na aba Metadados, estão todos os documentos que reuní em uma biblioteca do Zotero que contém as ifromações sobre os artigos assim como os PDFs dos textos (os de acesso livre).</t>
  </si>
  <si>
    <t>Todos os itens da Biblioteca</t>
  </si>
  <si>
    <t>Utilizável no texto do trabalho</t>
  </si>
  <si>
    <t>Critério</t>
  </si>
  <si>
    <t>Planilha resumida para leitura e priorização.</t>
  </si>
  <si>
    <t>Metadados detalhados do RIS*</t>
  </si>
  <si>
    <t>* Um arquivo com a extensão .ris é um formato de texto padronizado, desenvolvido pela Research Information Systems, utilizado para trocar informações bibliográficas (citações) entre gerenciadores de referências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</si>
</sst>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Calibri"/>
    </font>
    <font>
      <i/>
      <sz val="10"/>
      <color rgb="FF666666"/>
      <name val="Calibri"/>
    </font>
    <font>
      <b/>
      <sz val="11"/>
      <color rgb="FFFFFFFF"/>
      <name val="Calibri"/>
    </font>
    <font>
      <b/>
      <sz val="11"/>
      <name val="Calibri"/>
    </font>
    <font>
      <u/>
      <sz val="11"/>
      <color rgb="FF0563C1"/>
      <name val="Calibri"/>
    </font>
    <font>
      <b/>
      <sz val="11"/>
      <color theme="1"/>
      <name val="Calibri"/>
      <family val="2"/>
      <scheme val="minor"/>
    </font>
    <font>
      <b/>
      <sz val="11"/>
      <color rgb="FFFFFFFF"/>
      <name val="Calibri"/>
      <family val="2"/>
    </font>
    <font>
      <b/>
      <i/>
      <sz val="10"/>
      <color rgb="FF666666"/>
      <name val="Calibri"/>
      <family val="2"/>
    </font>
    <font>
      <b/>
      <i/>
      <sz val="10"/>
      <name val="Calibri"/>
      <family val="2"/>
    </font>
    <font>
      <b/>
      <sz val="11"/>
      <name val="Calibri"/>
      <family val="2"/>
      <scheme val="minor"/>
    </font>
    <font>
      <b/>
      <sz val="14"/>
      <color rgb="FFFFFFFF"/>
      <name val="Calibri"/>
      <family val="2"/>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rgb="FFFDE9E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3" fillId="2" borderId="0" xfId="0" applyFont="1" applyFill="1" applyAlignment="1">
      <alignment horizontal="center" vertical="center" wrapText="1"/>
    </xf>
    <xf numFmtId="0" fontId="0" fillId="0" borderId="0" xfId="0" applyAlignment="1">
      <alignment vertical="top" wrapText="1"/>
    </xf>
    <xf numFmtId="0" fontId="4" fillId="3" borderId="0" xfId="0" applyFont="1" applyFill="1" applyAlignment="1">
      <alignment vertical="top" wrapText="1"/>
    </xf>
    <xf numFmtId="0" fontId="4" fillId="0" borderId="0" xfId="0" applyFont="1"/>
    <xf numFmtId="0" fontId="0" fillId="4" borderId="0" xfId="0" applyFill="1" applyAlignment="1">
      <alignment vertical="top" wrapText="1"/>
    </xf>
    <xf numFmtId="0" fontId="0" fillId="5" borderId="0" xfId="0" applyFill="1" applyAlignment="1">
      <alignment vertical="top" wrapText="1"/>
    </xf>
    <xf numFmtId="0" fontId="5" fillId="0" borderId="0" xfId="0" applyFont="1" applyAlignment="1">
      <alignment vertical="top" wrapText="1"/>
    </xf>
    <xf numFmtId="0" fontId="0" fillId="6" borderId="0" xfId="0" applyFill="1" applyAlignment="1">
      <alignment vertical="top" wrapText="1"/>
    </xf>
    <xf numFmtId="0" fontId="0" fillId="0" borderId="0" xfId="0"/>
    <xf numFmtId="0" fontId="1" fillId="2" borderId="0" xfId="0" applyFont="1" applyFill="1" applyAlignment="1">
      <alignment horizontal="center" vertical="center"/>
    </xf>
    <xf numFmtId="0" fontId="2" fillId="0" borderId="0" xfId="0" applyFont="1" applyAlignment="1">
      <alignment vertical="center" wrapText="1"/>
    </xf>
    <xf numFmtId="0" fontId="0" fillId="0" borderId="1" xfId="0" applyBorder="1" applyAlignment="1">
      <alignment vertical="top" wrapText="1"/>
    </xf>
    <xf numFmtId="0" fontId="7" fillId="2" borderId="0" xfId="0" applyFont="1" applyFill="1" applyAlignment="1">
      <alignment horizontal="center" vertical="center" wrapText="1"/>
    </xf>
    <xf numFmtId="0" fontId="8" fillId="0" borderId="0" xfId="0" applyFont="1" applyAlignment="1">
      <alignment vertical="center" wrapText="1"/>
    </xf>
    <xf numFmtId="0" fontId="6" fillId="0" borderId="0" xfId="0" applyFont="1"/>
    <xf numFmtId="0" fontId="9" fillId="0" borderId="0" xfId="0" applyFont="1" applyAlignment="1">
      <alignment vertical="center" wrapText="1"/>
    </xf>
    <xf numFmtId="0" fontId="10" fillId="0" borderId="0" xfId="0" applyFont="1"/>
    <xf numFmtId="0" fontId="0" fillId="0" borderId="1" xfId="0" applyBorder="1" applyAlignment="1">
      <alignment vertical="top"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1" xfId="0" applyFont="1" applyBorder="1" applyAlignment="1">
      <alignment vertical="top" wrapText="1"/>
    </xf>
    <xf numFmtId="0" fontId="4" fillId="3" borderId="1" xfId="0" applyFont="1" applyFill="1" applyBorder="1" applyAlignment="1">
      <alignment vertical="top" wrapText="1"/>
    </xf>
    <xf numFmtId="0" fontId="4" fillId="0" borderId="1" xfId="0" applyFont="1" applyBorder="1"/>
    <xf numFmtId="0" fontId="0" fillId="0" borderId="1" xfId="0" applyBorder="1"/>
    <xf numFmtId="0" fontId="1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762000</xdr:colOff>
      <xdr:row>15</xdr:row>
      <xdr:rowOff>472440</xdr:rowOff>
    </xdr:to>
    <xdr:sp macro="" textlink="">
      <xdr:nvSpPr>
        <xdr:cNvPr id="1028" name="Text Box 4" hidden="1">
          <a:extLst>
            <a:ext uri="{FF2B5EF4-FFF2-40B4-BE49-F238E27FC236}">
              <a16:creationId xmlns:a16="http://schemas.microsoft.com/office/drawing/2014/main" id="{25DF7A83-377A-6AEF-18C8-6F3CA240062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899160</xdr:colOff>
      <xdr:row>15</xdr:row>
      <xdr:rowOff>220980</xdr:rowOff>
    </xdr:to>
    <xdr:sp macro="" textlink="">
      <xdr:nvSpPr>
        <xdr:cNvPr id="2051" name="Text Box 3" hidden="1">
          <a:extLst>
            <a:ext uri="{FF2B5EF4-FFF2-40B4-BE49-F238E27FC236}">
              <a16:creationId xmlns:a16="http://schemas.microsoft.com/office/drawing/2014/main" id="{804BC735-28F3-4A1D-9472-946401C3A30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iagemClara" displayName="TriagemClara" ref="A4:M25">
  <autoFilter ref="A4:M25" xr:uid="{00000000-0009-0000-0100-000001000000}"/>
  <tableColumns count="13">
    <tableColumn id="1" xr3:uid="{00000000-0010-0000-0000-000001000000}" name="ID RIS"/>
    <tableColumn id="2" xr3:uid="{00000000-0010-0000-0000-000002000000}" name="Referência curta"/>
    <tableColumn id="3" xr3:uid="{00000000-0010-0000-0000-000003000000}" name="Título"/>
    <tableColumn id="4" xr3:uid="{00000000-0010-0000-0000-000004000000}" name="Ano"/>
    <tableColumn id="5" xr3:uid="{00000000-0010-0000-0000-000005000000}" name="R1"/>
    <tableColumn id="6" xr3:uid="{00000000-0010-0000-0000-000006000000}" name="R2"/>
    <tableColumn id="7" xr3:uid="{00000000-0010-0000-0000-000007000000}" name="R3"/>
    <tableColumn id="8" xr3:uid="{00000000-0010-0000-0000-000008000000}" name="R4"/>
    <tableColumn id="9" xr3:uid="{00000000-0010-0000-0000-000009000000}" name="Geografia"/>
    <tableColumn id="10" xr3:uid="{00000000-0010-0000-0000-00000A000000}" name="Revelvância"/>
    <tableColumn id="11" xr3:uid="{00000000-0010-0000-0000-00000B000000}" name="Consideração principal"/>
    <tableColumn id="12" xr3:uid="{00000000-0010-0000-0000-00000C000000}" name="Conferir cadastro?"/>
    <tableColumn id="13" xr3:uid="{00000000-0010-0000-0000-00000D000000}" name="DOI /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tadadosDetalhados" displayName="MetadadosDetalhados" ref="A4:Q25">
  <autoFilter ref="A4:Q25" xr:uid="{00000000-0009-0000-0100-000002000000}"/>
  <tableColumns count="17">
    <tableColumn id="1" xr3:uid="{00000000-0010-0000-0100-000001000000}" name="ID RIS"/>
    <tableColumn id="2" xr3:uid="{00000000-0010-0000-0100-000002000000}" name="Tipo RIS"/>
    <tableColumn id="3" xr3:uid="{00000000-0010-0000-0100-000003000000}" name="Ano"/>
    <tableColumn id="4" xr3:uid="{00000000-0010-0000-0100-000004000000}" name="Referência curta"/>
    <tableColumn id="5" xr3:uid="{00000000-0010-0000-0100-000005000000}" name="Título"/>
    <tableColumn id="6" xr3:uid="{00000000-0010-0000-0100-000006000000}" name="Autores"/>
    <tableColumn id="7" xr3:uid="{00000000-0010-0000-0100-000007000000}" name="Fonte / veículo"/>
    <tableColumn id="8" xr3:uid="{00000000-0010-0000-0100-000008000000}" name="DOI / URL"/>
    <tableColumn id="9" xr3:uid="{00000000-0010-0000-0100-000009000000}" name="Geografia"/>
    <tableColumn id="10" xr3:uid="{00000000-0010-0000-0100-00000A000000}" name="R1"/>
    <tableColumn id="11" xr3:uid="{00000000-0010-0000-0100-00000B000000}" name="R1 — justificativa"/>
    <tableColumn id="12" xr3:uid="{00000000-0010-0000-0100-00000C000000}" name="R2"/>
    <tableColumn id="13" xr3:uid="{00000000-0010-0000-0100-00000D000000}" name="R3"/>
    <tableColumn id="14" xr3:uid="{00000000-0010-0000-0100-00000E000000}" name="R4"/>
    <tableColumn id="15" xr3:uid="{00000000-0010-0000-0100-00000F000000}" name="Considerações"/>
    <tableColumn id="16" xr3:uid="{00000000-0010-0000-0100-000010000000}" name="Conferir cadastro?"/>
    <tableColumn id="17" xr3:uid="{00000000-0010-0000-0100-000011000000}" name="Prioridad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showGridLines="0" workbookViewId="0">
      <selection activeCell="C26" sqref="C26"/>
    </sheetView>
  </sheetViews>
  <sheetFormatPr defaultRowHeight="14.4" x14ac:dyDescent="0.3"/>
  <cols>
    <col min="1" max="1" width="30" customWidth="1"/>
    <col min="2" max="2" width="24" customWidth="1"/>
    <col min="3" max="3" width="40" customWidth="1"/>
  </cols>
  <sheetData>
    <row r="1" spans="1:3" ht="24" customHeight="1" x14ac:dyDescent="0.3">
      <c r="A1" s="10" t="s">
        <v>205</v>
      </c>
      <c r="B1" s="9"/>
      <c r="C1" s="9"/>
    </row>
    <row r="2" spans="1:3" ht="75" customHeight="1" x14ac:dyDescent="0.3">
      <c r="A2" s="16" t="s">
        <v>207</v>
      </c>
      <c r="B2" s="17"/>
      <c r="C2" s="17"/>
    </row>
    <row r="4" spans="1:3" x14ac:dyDescent="0.3">
      <c r="A4" s="1" t="s">
        <v>0</v>
      </c>
      <c r="B4" s="1" t="s">
        <v>1</v>
      </c>
      <c r="C4" s="1" t="s">
        <v>2</v>
      </c>
    </row>
    <row r="5" spans="1:3" x14ac:dyDescent="0.3">
      <c r="A5" s="12" t="s">
        <v>3</v>
      </c>
      <c r="B5" s="23">
        <f>COUNTA(Triagem_de_docs!A:A)-3</f>
        <v>21</v>
      </c>
      <c r="C5" s="12" t="s">
        <v>208</v>
      </c>
    </row>
    <row r="6" spans="1:3" x14ac:dyDescent="0.3">
      <c r="A6" s="12" t="s">
        <v>4</v>
      </c>
      <c r="B6" s="23">
        <f>COUNTIF(Triagem_de_docs!J:J,"Alta")</f>
        <v>15</v>
      </c>
      <c r="C6" s="12" t="s">
        <v>209</v>
      </c>
    </row>
    <row r="7" spans="1:3" x14ac:dyDescent="0.3">
      <c r="A7" s="12" t="s">
        <v>5</v>
      </c>
      <c r="B7" s="23">
        <f>COUNTIF(Triagem_de_docs!J:J,"Média")</f>
        <v>1</v>
      </c>
      <c r="C7" s="12" t="s">
        <v>6</v>
      </c>
    </row>
    <row r="8" spans="1:3" x14ac:dyDescent="0.3">
      <c r="A8" s="12" t="s">
        <v>7</v>
      </c>
      <c r="B8" s="23">
        <f>COUNTIF(Triagem_de_docs!J:J,"Baixa")</f>
        <v>5</v>
      </c>
      <c r="C8" s="12" t="s">
        <v>8</v>
      </c>
    </row>
    <row r="9" spans="1:3" ht="28.8" x14ac:dyDescent="0.3">
      <c r="A9" s="12" t="s">
        <v>9</v>
      </c>
      <c r="B9" s="23">
        <f>COUNTIF(Triagem_de_docs!L:L,"Sim")</f>
        <v>9</v>
      </c>
      <c r="C9" s="12" t="s">
        <v>10</v>
      </c>
    </row>
    <row r="11" spans="1:3" x14ac:dyDescent="0.3">
      <c r="A11" s="4" t="s">
        <v>11</v>
      </c>
    </row>
    <row r="12" spans="1:3" x14ac:dyDescent="0.3">
      <c r="A12" s="1" t="s">
        <v>12</v>
      </c>
      <c r="B12" s="1" t="s">
        <v>13</v>
      </c>
      <c r="C12" s="1" t="s">
        <v>14</v>
      </c>
    </row>
    <row r="13" spans="1:3" x14ac:dyDescent="0.3">
      <c r="A13" s="12" t="s">
        <v>15</v>
      </c>
      <c r="B13" s="23">
        <f>COUNTIF(Triagem_de_docs!G:G,"Plataformas / instalações offshore")</f>
        <v>5</v>
      </c>
      <c r="C13" s="12" t="s">
        <v>16</v>
      </c>
    </row>
    <row r="14" spans="1:3" x14ac:dyDescent="0.3">
      <c r="A14" s="12" t="s">
        <v>17</v>
      </c>
      <c r="B14" s="23">
        <f>COUNTIF(Triagem_de_docs!G:G,"Ativos subsea")</f>
        <v>6</v>
      </c>
      <c r="C14" s="12" t="s">
        <v>18</v>
      </c>
    </row>
    <row r="15" spans="1:3" x14ac:dyDescent="0.3">
      <c r="A15" s="12" t="s">
        <v>19</v>
      </c>
      <c r="B15" s="23">
        <f>COUNTIF(Triagem_de_docs!G:G,"Pipelines / flowlines")</f>
        <v>4</v>
      </c>
      <c r="C15" s="12" t="s">
        <v>20</v>
      </c>
    </row>
    <row r="16" spans="1:3" x14ac:dyDescent="0.3">
      <c r="A16" s="12" t="s">
        <v>21</v>
      </c>
      <c r="B16" s="23">
        <f>COUNTIF(Triagem_de_docs!G:G,"Geral offshore")</f>
        <v>4</v>
      </c>
      <c r="C16" s="12" t="s">
        <v>22</v>
      </c>
    </row>
    <row r="17" spans="1:3" x14ac:dyDescent="0.3">
      <c r="A17" s="12" t="s">
        <v>23</v>
      </c>
      <c r="B17" s="23">
        <f>COUNTIF(Triagem_de_docs!G:G,"Navios / embarcações")</f>
        <v>2</v>
      </c>
      <c r="C17" s="12" t="s">
        <v>24</v>
      </c>
    </row>
    <row r="19" spans="1:3" ht="36" customHeight="1" x14ac:dyDescent="0.3">
      <c r="A19" s="24" t="s">
        <v>25</v>
      </c>
      <c r="B19" s="18" t="s">
        <v>26</v>
      </c>
      <c r="C19" s="25"/>
    </row>
  </sheetData>
  <mergeCells count="3">
    <mergeCell ref="B19:C19"/>
    <mergeCell ref="A1:C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5"/>
  <sheetViews>
    <sheetView showGridLines="0" workbookViewId="0">
      <selection activeCell="A5" sqref="A5"/>
    </sheetView>
  </sheetViews>
  <sheetFormatPr defaultRowHeight="14.4" x14ac:dyDescent="0.3"/>
  <cols>
    <col min="1" max="1" width="8" customWidth="1"/>
    <col min="2" max="2" width="24" customWidth="1"/>
    <col min="3" max="3" width="54" customWidth="1"/>
    <col min="4" max="4" width="8" customWidth="1"/>
    <col min="5" max="5" width="6" customWidth="1"/>
    <col min="6" max="6" width="18" customWidth="1"/>
    <col min="7" max="7" width="28" customWidth="1"/>
    <col min="8" max="8" width="14" customWidth="1"/>
    <col min="9" max="9" width="18" customWidth="1"/>
    <col min="10" max="10" width="15.44140625" bestFit="1" customWidth="1"/>
    <col min="11" max="11" width="42" customWidth="1"/>
    <col min="12" max="12" width="16" customWidth="1"/>
    <col min="13" max="13" width="36" customWidth="1"/>
  </cols>
  <sheetData>
    <row r="1" spans="1:13" ht="24" customHeight="1" x14ac:dyDescent="0.3">
      <c r="A1" s="10" t="s">
        <v>27</v>
      </c>
      <c r="B1" s="9"/>
      <c r="C1" s="9"/>
      <c r="D1" s="9"/>
      <c r="E1" s="9"/>
      <c r="F1" s="9"/>
      <c r="G1" s="9"/>
      <c r="H1" s="9"/>
      <c r="I1" s="9"/>
      <c r="J1" s="9"/>
      <c r="K1" s="9"/>
      <c r="L1" s="9"/>
      <c r="M1" s="9"/>
    </row>
    <row r="2" spans="1:13" ht="34.049999999999997" customHeight="1" x14ac:dyDescent="0.3">
      <c r="A2" s="16" t="s">
        <v>211</v>
      </c>
      <c r="B2" s="17"/>
      <c r="C2" s="17"/>
      <c r="D2" s="17"/>
      <c r="E2" s="17"/>
      <c r="F2" s="17"/>
      <c r="G2" s="17"/>
      <c r="H2" s="17"/>
      <c r="I2" s="17"/>
      <c r="J2" s="17"/>
      <c r="K2" s="17"/>
      <c r="L2" s="17"/>
      <c r="M2" s="17"/>
    </row>
    <row r="4" spans="1:13" ht="28.8" x14ac:dyDescent="0.3">
      <c r="A4" s="1" t="s">
        <v>28</v>
      </c>
      <c r="B4" s="1" t="s">
        <v>29</v>
      </c>
      <c r="C4" s="1" t="s">
        <v>30</v>
      </c>
      <c r="D4" s="1" t="s">
        <v>31</v>
      </c>
      <c r="E4" s="1" t="s">
        <v>32</v>
      </c>
      <c r="F4" s="1" t="s">
        <v>33</v>
      </c>
      <c r="G4" s="1" t="s">
        <v>34</v>
      </c>
      <c r="H4" s="1" t="s">
        <v>35</v>
      </c>
      <c r="I4" s="1" t="s">
        <v>36</v>
      </c>
      <c r="J4" s="13" t="s">
        <v>206</v>
      </c>
      <c r="K4" s="1" t="s">
        <v>38</v>
      </c>
      <c r="L4" s="1" t="s">
        <v>39</v>
      </c>
      <c r="M4" s="1" t="s">
        <v>40</v>
      </c>
    </row>
    <row r="5" spans="1:13" ht="42" customHeight="1" x14ac:dyDescent="0.3">
      <c r="A5" s="2">
        <v>18</v>
      </c>
      <c r="B5" s="2" t="s">
        <v>41</v>
      </c>
      <c r="C5" s="2" t="s">
        <v>42</v>
      </c>
      <c r="D5" s="2">
        <v>2025</v>
      </c>
      <c r="E5" s="5">
        <v>3</v>
      </c>
      <c r="F5" s="2" t="s">
        <v>43</v>
      </c>
      <c r="G5" s="2" t="s">
        <v>15</v>
      </c>
      <c r="H5" s="2" t="s">
        <v>44</v>
      </c>
      <c r="I5" s="2" t="s">
        <v>45</v>
      </c>
      <c r="J5" s="3" t="str">
        <f t="shared" ref="J5:J25" si="0">IF(E5=3,"Alta",IF(E5=2,"Média","Baixa"))</f>
        <v>Alta</v>
      </c>
      <c r="K5" s="2" t="s">
        <v>46</v>
      </c>
      <c r="L5" s="6" t="str">
        <f t="shared" ref="L5:L25" si="1">IF(OR(M5="",F5="Recurso web / metadado incompleto"),"Sim","Não")</f>
        <v>Não</v>
      </c>
      <c r="M5" s="7" t="s">
        <v>47</v>
      </c>
    </row>
    <row r="6" spans="1:13" ht="42" customHeight="1" x14ac:dyDescent="0.3">
      <c r="A6" s="2">
        <v>19</v>
      </c>
      <c r="B6" s="2" t="s">
        <v>48</v>
      </c>
      <c r="C6" s="2" t="s">
        <v>49</v>
      </c>
      <c r="D6" s="2">
        <v>2023</v>
      </c>
      <c r="E6" s="5">
        <v>3</v>
      </c>
      <c r="F6" s="2" t="s">
        <v>50</v>
      </c>
      <c r="G6" s="2" t="s">
        <v>17</v>
      </c>
      <c r="H6" s="2" t="s">
        <v>51</v>
      </c>
      <c r="I6" s="2" t="s">
        <v>52</v>
      </c>
      <c r="J6" s="3" t="str">
        <f t="shared" si="0"/>
        <v>Alta</v>
      </c>
      <c r="K6" s="2" t="s">
        <v>53</v>
      </c>
      <c r="L6" s="6" t="str">
        <f t="shared" si="1"/>
        <v>Não</v>
      </c>
      <c r="M6" s="7" t="s">
        <v>54</v>
      </c>
    </row>
    <row r="7" spans="1:13" ht="42" customHeight="1" x14ac:dyDescent="0.3">
      <c r="A7" s="2">
        <v>20</v>
      </c>
      <c r="B7" s="2" t="s">
        <v>55</v>
      </c>
      <c r="C7" s="2" t="s">
        <v>56</v>
      </c>
      <c r="D7" s="2">
        <v>2022</v>
      </c>
      <c r="E7" s="5">
        <v>3</v>
      </c>
      <c r="F7" s="2" t="s">
        <v>57</v>
      </c>
      <c r="G7" s="2" t="s">
        <v>15</v>
      </c>
      <c r="H7" s="2" t="s">
        <v>58</v>
      </c>
      <c r="I7" s="2" t="s">
        <v>45</v>
      </c>
      <c r="J7" s="3" t="str">
        <f t="shared" si="0"/>
        <v>Alta</v>
      </c>
      <c r="K7" s="2" t="s">
        <v>59</v>
      </c>
      <c r="L7" s="6" t="str">
        <f t="shared" si="1"/>
        <v>Não</v>
      </c>
      <c r="M7" s="7" t="s">
        <v>60</v>
      </c>
    </row>
    <row r="8" spans="1:13" ht="42" customHeight="1" x14ac:dyDescent="0.3">
      <c r="A8" s="2">
        <v>6</v>
      </c>
      <c r="B8" s="2" t="s">
        <v>61</v>
      </c>
      <c r="C8" s="2" t="s">
        <v>62</v>
      </c>
      <c r="D8" s="2">
        <v>2019</v>
      </c>
      <c r="E8" s="5">
        <v>3</v>
      </c>
      <c r="F8" s="2" t="s">
        <v>63</v>
      </c>
      <c r="G8" s="2" t="s">
        <v>19</v>
      </c>
      <c r="H8" s="2" t="s">
        <v>51</v>
      </c>
      <c r="I8" s="2" t="s">
        <v>45</v>
      </c>
      <c r="J8" s="3" t="str">
        <f t="shared" si="0"/>
        <v>Alta</v>
      </c>
      <c r="K8" s="2" t="s">
        <v>64</v>
      </c>
      <c r="L8" s="6" t="str">
        <f t="shared" si="1"/>
        <v>Sim</v>
      </c>
      <c r="M8" s="7" t="s">
        <v>65</v>
      </c>
    </row>
    <row r="9" spans="1:13" ht="42" customHeight="1" x14ac:dyDescent="0.3">
      <c r="A9" s="2">
        <v>14</v>
      </c>
      <c r="B9" s="2" t="s">
        <v>66</v>
      </c>
      <c r="C9" s="2" t="s">
        <v>67</v>
      </c>
      <c r="D9" s="2">
        <v>2018</v>
      </c>
      <c r="E9" s="5">
        <v>3</v>
      </c>
      <c r="F9" s="2" t="s">
        <v>43</v>
      </c>
      <c r="G9" s="2" t="s">
        <v>19</v>
      </c>
      <c r="H9" s="2" t="s">
        <v>51</v>
      </c>
      <c r="I9" s="2" t="s">
        <v>68</v>
      </c>
      <c r="J9" s="3" t="str">
        <f t="shared" si="0"/>
        <v>Alta</v>
      </c>
      <c r="K9" s="2" t="s">
        <v>69</v>
      </c>
      <c r="L9" s="6" t="str">
        <f t="shared" si="1"/>
        <v>Não</v>
      </c>
      <c r="M9" s="7" t="s">
        <v>70</v>
      </c>
    </row>
    <row r="10" spans="1:13" ht="42" customHeight="1" x14ac:dyDescent="0.3">
      <c r="A10" s="2">
        <v>7</v>
      </c>
      <c r="B10" s="2" t="s">
        <v>71</v>
      </c>
      <c r="C10" s="2" t="s">
        <v>72</v>
      </c>
      <c r="D10" s="2">
        <v>2018</v>
      </c>
      <c r="E10" s="5">
        <v>3</v>
      </c>
      <c r="F10" s="2" t="s">
        <v>73</v>
      </c>
      <c r="G10" s="2" t="s">
        <v>17</v>
      </c>
      <c r="H10" s="2" t="s">
        <v>74</v>
      </c>
      <c r="I10" s="2" t="s">
        <v>75</v>
      </c>
      <c r="J10" s="3" t="str">
        <f t="shared" si="0"/>
        <v>Alta</v>
      </c>
      <c r="K10" s="2" t="s">
        <v>76</v>
      </c>
      <c r="L10" s="6" t="str">
        <f t="shared" si="1"/>
        <v>Não</v>
      </c>
      <c r="M10" s="7" t="s">
        <v>77</v>
      </c>
    </row>
    <row r="11" spans="1:13" ht="42" customHeight="1" x14ac:dyDescent="0.3">
      <c r="A11" s="2">
        <v>13</v>
      </c>
      <c r="B11" s="2" t="s">
        <v>78</v>
      </c>
      <c r="C11" s="2" t="s">
        <v>79</v>
      </c>
      <c r="D11" s="2">
        <v>2017</v>
      </c>
      <c r="E11" s="5">
        <v>3</v>
      </c>
      <c r="F11" s="2" t="s">
        <v>80</v>
      </c>
      <c r="G11" s="2" t="s">
        <v>19</v>
      </c>
      <c r="H11" s="2" t="s">
        <v>74</v>
      </c>
      <c r="I11" s="2" t="s">
        <v>45</v>
      </c>
      <c r="J11" s="3" t="str">
        <f t="shared" si="0"/>
        <v>Alta</v>
      </c>
      <c r="K11" s="2" t="s">
        <v>64</v>
      </c>
      <c r="L11" s="6" t="str">
        <f t="shared" si="1"/>
        <v>Não</v>
      </c>
      <c r="M11" s="7" t="s">
        <v>81</v>
      </c>
    </row>
    <row r="12" spans="1:13" ht="42" customHeight="1" x14ac:dyDescent="0.3">
      <c r="A12" s="2">
        <v>17</v>
      </c>
      <c r="B12" s="2" t="s">
        <v>82</v>
      </c>
      <c r="C12" s="2" t="s">
        <v>83</v>
      </c>
      <c r="D12" s="2">
        <v>2002</v>
      </c>
      <c r="E12" s="5">
        <v>3</v>
      </c>
      <c r="F12" s="2" t="s">
        <v>63</v>
      </c>
      <c r="G12" s="2" t="s">
        <v>19</v>
      </c>
      <c r="H12" s="2" t="s">
        <v>74</v>
      </c>
      <c r="I12" s="2" t="s">
        <v>45</v>
      </c>
      <c r="J12" s="3" t="str">
        <f t="shared" si="0"/>
        <v>Alta</v>
      </c>
      <c r="K12" s="2" t="s">
        <v>64</v>
      </c>
      <c r="L12" s="6" t="str">
        <f t="shared" si="1"/>
        <v>Sim</v>
      </c>
      <c r="M12" s="7" t="s">
        <v>84</v>
      </c>
    </row>
    <row r="13" spans="1:13" ht="42" customHeight="1" x14ac:dyDescent="0.3">
      <c r="A13" s="2">
        <v>11</v>
      </c>
      <c r="B13" s="2" t="s">
        <v>85</v>
      </c>
      <c r="C13" s="2" t="s">
        <v>86</v>
      </c>
      <c r="D13" s="2">
        <v>2001</v>
      </c>
      <c r="E13" s="5">
        <v>3</v>
      </c>
      <c r="F13" s="2" t="s">
        <v>87</v>
      </c>
      <c r="G13" s="2" t="s">
        <v>21</v>
      </c>
      <c r="H13" s="2" t="s">
        <v>88</v>
      </c>
      <c r="I13" s="2" t="s">
        <v>45</v>
      </c>
      <c r="J13" s="3" t="str">
        <f t="shared" si="0"/>
        <v>Alta</v>
      </c>
      <c r="K13" s="2" t="s">
        <v>59</v>
      </c>
      <c r="L13" s="6" t="str">
        <f t="shared" si="1"/>
        <v>Não</v>
      </c>
      <c r="M13" s="7" t="s">
        <v>89</v>
      </c>
    </row>
    <row r="14" spans="1:13" ht="42" customHeight="1" x14ac:dyDescent="0.3">
      <c r="A14" s="2">
        <v>16</v>
      </c>
      <c r="B14" s="2" t="s">
        <v>90</v>
      </c>
      <c r="C14" s="2" t="s">
        <v>91</v>
      </c>
      <c r="D14" s="2"/>
      <c r="E14" s="5">
        <v>3</v>
      </c>
      <c r="F14" s="2" t="s">
        <v>63</v>
      </c>
      <c r="G14" s="2" t="s">
        <v>17</v>
      </c>
      <c r="H14" s="2" t="s">
        <v>44</v>
      </c>
      <c r="I14" s="2" t="s">
        <v>45</v>
      </c>
      <c r="J14" s="3" t="str">
        <f t="shared" si="0"/>
        <v>Alta</v>
      </c>
      <c r="K14" s="2" t="s">
        <v>53</v>
      </c>
      <c r="L14" s="6" t="str">
        <f t="shared" si="1"/>
        <v>Sim</v>
      </c>
      <c r="M14" s="7" t="s">
        <v>92</v>
      </c>
    </row>
    <row r="15" spans="1:13" ht="42" customHeight="1" x14ac:dyDescent="0.3">
      <c r="A15" s="2">
        <v>10</v>
      </c>
      <c r="B15" s="2" t="s">
        <v>93</v>
      </c>
      <c r="C15" s="2" t="s">
        <v>94</v>
      </c>
      <c r="D15" s="2"/>
      <c r="E15" s="5">
        <v>3</v>
      </c>
      <c r="F15" s="2" t="s">
        <v>63</v>
      </c>
      <c r="G15" s="2" t="s">
        <v>15</v>
      </c>
      <c r="H15" s="2" t="s">
        <v>74</v>
      </c>
      <c r="I15" s="2" t="s">
        <v>75</v>
      </c>
      <c r="J15" s="3" t="str">
        <f t="shared" si="0"/>
        <v>Alta</v>
      </c>
      <c r="K15" s="2" t="s">
        <v>76</v>
      </c>
      <c r="L15" s="6" t="str">
        <f t="shared" si="1"/>
        <v>Sim</v>
      </c>
      <c r="M15" s="7" t="s">
        <v>95</v>
      </c>
    </row>
    <row r="16" spans="1:13" ht="42" customHeight="1" x14ac:dyDescent="0.3">
      <c r="A16" s="2">
        <v>9</v>
      </c>
      <c r="B16" s="2" t="s">
        <v>96</v>
      </c>
      <c r="C16" s="2" t="s">
        <v>97</v>
      </c>
      <c r="D16" s="2"/>
      <c r="E16" s="5">
        <v>3</v>
      </c>
      <c r="F16" s="2" t="s">
        <v>63</v>
      </c>
      <c r="G16" s="2" t="s">
        <v>17</v>
      </c>
      <c r="H16" s="2" t="s">
        <v>88</v>
      </c>
      <c r="I16" s="2" t="s">
        <v>45</v>
      </c>
      <c r="J16" s="3" t="str">
        <f t="shared" si="0"/>
        <v>Alta</v>
      </c>
      <c r="K16" s="2" t="s">
        <v>53</v>
      </c>
      <c r="L16" s="6" t="str">
        <f t="shared" si="1"/>
        <v>Sim</v>
      </c>
      <c r="M16" s="7" t="s">
        <v>98</v>
      </c>
    </row>
    <row r="17" spans="1:13" ht="42" customHeight="1" x14ac:dyDescent="0.3">
      <c r="A17" s="2">
        <v>8</v>
      </c>
      <c r="B17" s="2" t="s">
        <v>99</v>
      </c>
      <c r="C17" s="2" t="s">
        <v>100</v>
      </c>
      <c r="D17" s="2"/>
      <c r="E17" s="5">
        <v>3</v>
      </c>
      <c r="F17" s="2" t="s">
        <v>63</v>
      </c>
      <c r="G17" s="2" t="s">
        <v>17</v>
      </c>
      <c r="H17" s="2" t="s">
        <v>44</v>
      </c>
      <c r="I17" s="2" t="s">
        <v>45</v>
      </c>
      <c r="J17" s="3" t="str">
        <f t="shared" si="0"/>
        <v>Alta</v>
      </c>
      <c r="K17" s="2" t="s">
        <v>53</v>
      </c>
      <c r="L17" s="6" t="str">
        <f t="shared" si="1"/>
        <v>Sim</v>
      </c>
      <c r="M17" s="7" t="s">
        <v>101</v>
      </c>
    </row>
    <row r="18" spans="1:13" ht="42" customHeight="1" x14ac:dyDescent="0.3">
      <c r="A18" s="2">
        <v>15</v>
      </c>
      <c r="B18" s="2" t="s">
        <v>102</v>
      </c>
      <c r="C18" s="2" t="s">
        <v>103</v>
      </c>
      <c r="D18" s="2"/>
      <c r="E18" s="5">
        <v>3</v>
      </c>
      <c r="F18" s="2" t="s">
        <v>63</v>
      </c>
      <c r="G18" s="2" t="s">
        <v>21</v>
      </c>
      <c r="H18" s="2" t="s">
        <v>88</v>
      </c>
      <c r="I18" s="2" t="s">
        <v>75</v>
      </c>
      <c r="J18" s="3" t="str">
        <f t="shared" si="0"/>
        <v>Alta</v>
      </c>
      <c r="K18" s="2" t="s">
        <v>76</v>
      </c>
      <c r="L18" s="6" t="str">
        <f t="shared" si="1"/>
        <v>Sim</v>
      </c>
      <c r="M18" s="7" t="s">
        <v>104</v>
      </c>
    </row>
    <row r="19" spans="1:13" ht="42" customHeight="1" x14ac:dyDescent="0.3">
      <c r="A19" s="2">
        <v>21</v>
      </c>
      <c r="B19" s="2" t="s">
        <v>105</v>
      </c>
      <c r="C19" s="2" t="s">
        <v>106</v>
      </c>
      <c r="D19" s="2"/>
      <c r="E19" s="5">
        <v>3</v>
      </c>
      <c r="F19" s="2" t="s">
        <v>80</v>
      </c>
      <c r="G19" s="2" t="s">
        <v>15</v>
      </c>
      <c r="H19" s="2" t="s">
        <v>51</v>
      </c>
      <c r="I19" s="2" t="s">
        <v>75</v>
      </c>
      <c r="J19" s="3" t="str">
        <f t="shared" si="0"/>
        <v>Alta</v>
      </c>
      <c r="K19" s="2" t="s">
        <v>76</v>
      </c>
      <c r="L19" s="6" t="str">
        <f t="shared" si="1"/>
        <v>Não</v>
      </c>
      <c r="M19" s="7" t="s">
        <v>107</v>
      </c>
    </row>
    <row r="20" spans="1:13" ht="42" customHeight="1" x14ac:dyDescent="0.3">
      <c r="A20" s="2">
        <v>5</v>
      </c>
      <c r="B20" s="2" t="s">
        <v>108</v>
      </c>
      <c r="C20" s="2" t="s">
        <v>109</v>
      </c>
      <c r="D20" s="2">
        <v>2021</v>
      </c>
      <c r="E20" s="6">
        <v>2</v>
      </c>
      <c r="F20" s="2" t="s">
        <v>43</v>
      </c>
      <c r="G20" s="2" t="s">
        <v>21</v>
      </c>
      <c r="H20" s="2" t="s">
        <v>44</v>
      </c>
      <c r="I20" s="2" t="s">
        <v>45</v>
      </c>
      <c r="J20" s="3" t="str">
        <f t="shared" si="0"/>
        <v>Média</v>
      </c>
      <c r="K20" s="2" t="s">
        <v>110</v>
      </c>
      <c r="L20" s="6" t="str">
        <f t="shared" si="1"/>
        <v>Não</v>
      </c>
      <c r="M20" s="7" t="s">
        <v>111</v>
      </c>
    </row>
    <row r="21" spans="1:13" ht="42" customHeight="1" x14ac:dyDescent="0.3">
      <c r="A21" s="2">
        <v>4</v>
      </c>
      <c r="B21" s="2" t="s">
        <v>112</v>
      </c>
      <c r="C21" s="2" t="s">
        <v>113</v>
      </c>
      <c r="D21" s="2">
        <v>2018</v>
      </c>
      <c r="E21" s="8">
        <v>1</v>
      </c>
      <c r="F21" s="2" t="s">
        <v>43</v>
      </c>
      <c r="G21" s="2" t="s">
        <v>23</v>
      </c>
      <c r="H21" s="2" t="s">
        <v>51</v>
      </c>
      <c r="I21" s="2" t="s">
        <v>45</v>
      </c>
      <c r="J21" s="3" t="str">
        <f t="shared" si="0"/>
        <v>Baixa</v>
      </c>
      <c r="K21" s="2" t="s">
        <v>114</v>
      </c>
      <c r="L21" s="6" t="str">
        <f t="shared" si="1"/>
        <v>Não</v>
      </c>
      <c r="M21" s="7" t="s">
        <v>115</v>
      </c>
    </row>
    <row r="22" spans="1:13" ht="42" customHeight="1" x14ac:dyDescent="0.3">
      <c r="A22" s="2">
        <v>3</v>
      </c>
      <c r="B22" s="2" t="s">
        <v>116</v>
      </c>
      <c r="C22" s="2" t="s">
        <v>117</v>
      </c>
      <c r="D22" s="2">
        <v>2016</v>
      </c>
      <c r="E22" s="8">
        <v>1</v>
      </c>
      <c r="F22" s="2" t="s">
        <v>43</v>
      </c>
      <c r="G22" s="2" t="s">
        <v>23</v>
      </c>
      <c r="H22" s="2" t="s">
        <v>74</v>
      </c>
      <c r="I22" s="2" t="s">
        <v>118</v>
      </c>
      <c r="J22" s="3" t="str">
        <f t="shared" si="0"/>
        <v>Baixa</v>
      </c>
      <c r="K22" s="2" t="s">
        <v>119</v>
      </c>
      <c r="L22" s="6" t="str">
        <f t="shared" si="1"/>
        <v>Não</v>
      </c>
      <c r="M22" s="7" t="s">
        <v>120</v>
      </c>
    </row>
    <row r="23" spans="1:13" ht="42" customHeight="1" x14ac:dyDescent="0.3">
      <c r="A23" s="2">
        <v>2</v>
      </c>
      <c r="B23" s="2" t="s">
        <v>121</v>
      </c>
      <c r="C23" s="2" t="s">
        <v>122</v>
      </c>
      <c r="D23" s="2"/>
      <c r="E23" s="8">
        <v>1</v>
      </c>
      <c r="F23" s="2" t="s">
        <v>63</v>
      </c>
      <c r="G23" s="2" t="s">
        <v>15</v>
      </c>
      <c r="H23" s="2" t="s">
        <v>88</v>
      </c>
      <c r="I23" s="2" t="s">
        <v>45</v>
      </c>
      <c r="J23" s="3" t="str">
        <f t="shared" si="0"/>
        <v>Baixa</v>
      </c>
      <c r="K23" s="2" t="s">
        <v>123</v>
      </c>
      <c r="L23" s="6" t="str">
        <f t="shared" si="1"/>
        <v>Sim</v>
      </c>
      <c r="M23" s="7" t="s">
        <v>124</v>
      </c>
    </row>
    <row r="24" spans="1:13" ht="42" customHeight="1" x14ac:dyDescent="0.3">
      <c r="A24" s="2">
        <v>1</v>
      </c>
      <c r="B24" s="2" t="s">
        <v>125</v>
      </c>
      <c r="C24" s="2" t="s">
        <v>126</v>
      </c>
      <c r="D24" s="2"/>
      <c r="E24" s="8">
        <v>1</v>
      </c>
      <c r="F24" s="2" t="s">
        <v>80</v>
      </c>
      <c r="G24" s="2" t="s">
        <v>17</v>
      </c>
      <c r="H24" s="2" t="s">
        <v>51</v>
      </c>
      <c r="I24" s="2" t="s">
        <v>75</v>
      </c>
      <c r="J24" s="3" t="str">
        <f t="shared" si="0"/>
        <v>Baixa</v>
      </c>
      <c r="K24" s="2" t="s">
        <v>76</v>
      </c>
      <c r="L24" s="6" t="str">
        <f t="shared" si="1"/>
        <v>Não</v>
      </c>
      <c r="M24" s="7" t="s">
        <v>127</v>
      </c>
    </row>
    <row r="25" spans="1:13" ht="42" customHeight="1" x14ac:dyDescent="0.3">
      <c r="A25" s="2">
        <v>12</v>
      </c>
      <c r="B25" s="2" t="s">
        <v>128</v>
      </c>
      <c r="C25" s="2" t="s">
        <v>128</v>
      </c>
      <c r="D25" s="2"/>
      <c r="E25" s="8">
        <v>1</v>
      </c>
      <c r="F25" s="2" t="s">
        <v>63</v>
      </c>
      <c r="G25" s="2" t="s">
        <v>21</v>
      </c>
      <c r="H25" s="2" t="s">
        <v>88</v>
      </c>
      <c r="I25" s="2" t="s">
        <v>45</v>
      </c>
      <c r="J25" s="3" t="str">
        <f t="shared" si="0"/>
        <v>Baixa</v>
      </c>
      <c r="K25" s="2" t="s">
        <v>123</v>
      </c>
      <c r="L25" s="6" t="str">
        <f t="shared" si="1"/>
        <v>Sim</v>
      </c>
      <c r="M25" s="7" t="s">
        <v>89</v>
      </c>
    </row>
  </sheetData>
  <mergeCells count="2">
    <mergeCell ref="A2:M2"/>
    <mergeCell ref="A1:M1"/>
  </mergeCells>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7"/>
  <sheetViews>
    <sheetView showGridLines="0" workbookViewId="0">
      <selection activeCell="A28" sqref="A28"/>
    </sheetView>
  </sheetViews>
  <sheetFormatPr defaultRowHeight="14.4" x14ac:dyDescent="0.3"/>
  <cols>
    <col min="1" max="1" width="8" customWidth="1"/>
    <col min="2" max="2" width="10" customWidth="1"/>
    <col min="3" max="3" width="8" customWidth="1"/>
    <col min="4" max="4" width="24" customWidth="1"/>
    <col min="5" max="5" width="48" customWidth="1"/>
    <col min="6" max="6" width="32" customWidth="1"/>
    <col min="7" max="7" width="22" customWidth="1"/>
    <col min="8" max="8" width="34" customWidth="1"/>
    <col min="9" max="9" width="18" customWidth="1"/>
    <col min="10" max="10" width="6" customWidth="1"/>
    <col min="11" max="11" width="32" customWidth="1"/>
    <col min="12" max="12" width="18" customWidth="1"/>
    <col min="13" max="13" width="24" customWidth="1"/>
    <col min="14" max="14" width="14" customWidth="1"/>
    <col min="15" max="15" width="46" customWidth="1"/>
    <col min="16" max="16" width="16" customWidth="1"/>
    <col min="17" max="17" width="12" customWidth="1"/>
  </cols>
  <sheetData>
    <row r="1" spans="1:17" ht="24" customHeight="1" x14ac:dyDescent="0.3">
      <c r="A1" s="26" t="s">
        <v>212</v>
      </c>
      <c r="B1" s="9"/>
      <c r="C1" s="9"/>
      <c r="D1" s="9"/>
      <c r="E1" s="9"/>
      <c r="F1" s="9"/>
      <c r="G1" s="9"/>
      <c r="H1" s="9"/>
      <c r="I1" s="9"/>
      <c r="J1" s="9"/>
      <c r="K1" s="9"/>
      <c r="L1" s="9"/>
      <c r="M1" s="9"/>
      <c r="N1" s="9"/>
      <c r="O1" s="9"/>
      <c r="P1" s="9"/>
      <c r="Q1" s="9"/>
    </row>
    <row r="2" spans="1:17" ht="34.049999999999997" customHeight="1" x14ac:dyDescent="0.3">
      <c r="A2" s="11" t="s">
        <v>129</v>
      </c>
      <c r="B2" s="9"/>
      <c r="C2" s="9"/>
      <c r="D2" s="9"/>
      <c r="E2" s="9"/>
      <c r="F2" s="9"/>
      <c r="G2" s="9"/>
      <c r="H2" s="9"/>
      <c r="I2" s="9"/>
      <c r="J2" s="9"/>
      <c r="K2" s="9"/>
      <c r="L2" s="9"/>
      <c r="M2" s="9"/>
      <c r="N2" s="9"/>
      <c r="O2" s="9"/>
      <c r="P2" s="9"/>
      <c r="Q2" s="9"/>
    </row>
    <row r="4" spans="1:17" ht="28.8" x14ac:dyDescent="0.3">
      <c r="A4" s="1" t="s">
        <v>28</v>
      </c>
      <c r="B4" s="1" t="s">
        <v>130</v>
      </c>
      <c r="C4" s="1" t="s">
        <v>31</v>
      </c>
      <c r="D4" s="1" t="s">
        <v>29</v>
      </c>
      <c r="E4" s="1" t="s">
        <v>30</v>
      </c>
      <c r="F4" s="1" t="s">
        <v>131</v>
      </c>
      <c r="G4" s="1" t="s">
        <v>132</v>
      </c>
      <c r="H4" s="1" t="s">
        <v>40</v>
      </c>
      <c r="I4" s="1" t="s">
        <v>36</v>
      </c>
      <c r="J4" s="1" t="s">
        <v>32</v>
      </c>
      <c r="K4" s="1" t="s">
        <v>133</v>
      </c>
      <c r="L4" s="1" t="s">
        <v>33</v>
      </c>
      <c r="M4" s="1" t="s">
        <v>34</v>
      </c>
      <c r="N4" s="1" t="s">
        <v>35</v>
      </c>
      <c r="O4" s="1" t="s">
        <v>134</v>
      </c>
      <c r="P4" s="1" t="s">
        <v>39</v>
      </c>
      <c r="Q4" s="1" t="s">
        <v>37</v>
      </c>
    </row>
    <row r="5" spans="1:17" ht="43.95" customHeight="1" x14ac:dyDescent="0.3">
      <c r="A5" s="2">
        <v>1</v>
      </c>
      <c r="B5" s="2" t="s">
        <v>135</v>
      </c>
      <c r="C5" s="2"/>
      <c r="D5" s="2" t="s">
        <v>125</v>
      </c>
      <c r="E5" s="2" t="s">
        <v>126</v>
      </c>
      <c r="F5" s="2" t="s">
        <v>136</v>
      </c>
      <c r="G5" s="2" t="s">
        <v>137</v>
      </c>
      <c r="H5" s="7" t="s">
        <v>127</v>
      </c>
      <c r="I5" s="2" t="s">
        <v>75</v>
      </c>
      <c r="J5" s="8">
        <v>1</v>
      </c>
      <c r="K5" s="2" t="s">
        <v>138</v>
      </c>
      <c r="L5" s="2" t="s">
        <v>80</v>
      </c>
      <c r="M5" s="2" t="s">
        <v>17</v>
      </c>
      <c r="N5" s="2" t="s">
        <v>51</v>
      </c>
      <c r="O5" s="2" t="s">
        <v>139</v>
      </c>
      <c r="P5" s="6" t="str">
        <f t="shared" ref="P5:P25" si="0">IF(OR(B5="ELEC",H5=""),"Sim","Não")</f>
        <v>Não</v>
      </c>
      <c r="Q5" s="3" t="str">
        <f t="shared" ref="Q5:Q25" si="1">IF(J5=3,"Alta",IF(J5=2,"Média","Baixa"))</f>
        <v>Baixa</v>
      </c>
    </row>
    <row r="6" spans="1:17" ht="43.95" customHeight="1" x14ac:dyDescent="0.3">
      <c r="A6" s="2">
        <v>2</v>
      </c>
      <c r="B6" s="2" t="s">
        <v>140</v>
      </c>
      <c r="C6" s="2"/>
      <c r="D6" s="2" t="s">
        <v>121</v>
      </c>
      <c r="E6" s="2" t="s">
        <v>122</v>
      </c>
      <c r="F6" s="2"/>
      <c r="G6" s="2"/>
      <c r="H6" s="7" t="s">
        <v>124</v>
      </c>
      <c r="I6" s="2" t="s">
        <v>45</v>
      </c>
      <c r="J6" s="8">
        <v>1</v>
      </c>
      <c r="K6" s="2" t="s">
        <v>141</v>
      </c>
      <c r="L6" s="2" t="s">
        <v>63</v>
      </c>
      <c r="M6" s="2" t="s">
        <v>15</v>
      </c>
      <c r="N6" s="2" t="s">
        <v>88</v>
      </c>
      <c r="O6" s="2" t="s">
        <v>142</v>
      </c>
      <c r="P6" s="6" t="str">
        <f t="shared" si="0"/>
        <v>Sim</v>
      </c>
      <c r="Q6" s="3" t="str">
        <f t="shared" si="1"/>
        <v>Baixa</v>
      </c>
    </row>
    <row r="7" spans="1:17" ht="43.95" customHeight="1" x14ac:dyDescent="0.3">
      <c r="A7" s="2">
        <v>3</v>
      </c>
      <c r="B7" s="2" t="s">
        <v>143</v>
      </c>
      <c r="C7" s="2">
        <v>2016</v>
      </c>
      <c r="D7" s="2" t="s">
        <v>116</v>
      </c>
      <c r="E7" s="2" t="s">
        <v>117</v>
      </c>
      <c r="F7" s="2" t="s">
        <v>144</v>
      </c>
      <c r="G7" s="2" t="s">
        <v>145</v>
      </c>
      <c r="H7" s="7" t="s">
        <v>120</v>
      </c>
      <c r="I7" s="2" t="s">
        <v>118</v>
      </c>
      <c r="J7" s="8">
        <v>1</v>
      </c>
      <c r="K7" s="2" t="s">
        <v>138</v>
      </c>
      <c r="L7" s="2" t="s">
        <v>43</v>
      </c>
      <c r="M7" s="2" t="s">
        <v>23</v>
      </c>
      <c r="N7" s="2" t="s">
        <v>74</v>
      </c>
      <c r="O7" s="2" t="s">
        <v>146</v>
      </c>
      <c r="P7" s="6" t="str">
        <f t="shared" si="0"/>
        <v>Não</v>
      </c>
      <c r="Q7" s="3" t="str">
        <f t="shared" si="1"/>
        <v>Baixa</v>
      </c>
    </row>
    <row r="8" spans="1:17" ht="43.95" customHeight="1" x14ac:dyDescent="0.3">
      <c r="A8" s="2">
        <v>4</v>
      </c>
      <c r="B8" s="2" t="s">
        <v>143</v>
      </c>
      <c r="C8" s="2">
        <v>2018</v>
      </c>
      <c r="D8" s="2" t="s">
        <v>112</v>
      </c>
      <c r="E8" s="2" t="s">
        <v>113</v>
      </c>
      <c r="F8" s="2" t="s">
        <v>147</v>
      </c>
      <c r="G8" s="2" t="s">
        <v>148</v>
      </c>
      <c r="H8" s="7" t="s">
        <v>115</v>
      </c>
      <c r="I8" s="2" t="s">
        <v>45</v>
      </c>
      <c r="J8" s="8">
        <v>1</v>
      </c>
      <c r="K8" s="2" t="s">
        <v>138</v>
      </c>
      <c r="L8" s="2" t="s">
        <v>43</v>
      </c>
      <c r="M8" s="2" t="s">
        <v>23</v>
      </c>
      <c r="N8" s="2" t="s">
        <v>51</v>
      </c>
      <c r="O8" s="2" t="s">
        <v>114</v>
      </c>
      <c r="P8" s="6" t="str">
        <f t="shared" si="0"/>
        <v>Não</v>
      </c>
      <c r="Q8" s="3" t="str">
        <f t="shared" si="1"/>
        <v>Baixa</v>
      </c>
    </row>
    <row r="9" spans="1:17" ht="43.95" customHeight="1" x14ac:dyDescent="0.3">
      <c r="A9" s="2">
        <v>5</v>
      </c>
      <c r="B9" s="2" t="s">
        <v>143</v>
      </c>
      <c r="C9" s="2">
        <v>2021</v>
      </c>
      <c r="D9" s="2" t="s">
        <v>108</v>
      </c>
      <c r="E9" s="2" t="s">
        <v>109</v>
      </c>
      <c r="F9" s="2" t="s">
        <v>149</v>
      </c>
      <c r="G9" s="2" t="s">
        <v>150</v>
      </c>
      <c r="H9" s="7" t="s">
        <v>111</v>
      </c>
      <c r="I9" s="2" t="s">
        <v>45</v>
      </c>
      <c r="J9" s="6">
        <v>2</v>
      </c>
      <c r="K9" s="2" t="s">
        <v>151</v>
      </c>
      <c r="L9" s="2" t="s">
        <v>43</v>
      </c>
      <c r="M9" s="2" t="s">
        <v>21</v>
      </c>
      <c r="N9" s="2" t="s">
        <v>44</v>
      </c>
      <c r="O9" s="2" t="s">
        <v>110</v>
      </c>
      <c r="P9" s="6" t="str">
        <f t="shared" si="0"/>
        <v>Não</v>
      </c>
      <c r="Q9" s="3" t="str">
        <f t="shared" si="1"/>
        <v>Média</v>
      </c>
    </row>
    <row r="10" spans="1:17" ht="43.95" customHeight="1" x14ac:dyDescent="0.3">
      <c r="A10" s="2">
        <v>6</v>
      </c>
      <c r="B10" s="2" t="s">
        <v>140</v>
      </c>
      <c r="C10" s="2">
        <v>2019</v>
      </c>
      <c r="D10" s="2" t="s">
        <v>61</v>
      </c>
      <c r="E10" s="2" t="s">
        <v>62</v>
      </c>
      <c r="F10" s="2"/>
      <c r="G10" s="2"/>
      <c r="H10" s="7" t="s">
        <v>65</v>
      </c>
      <c r="I10" s="2" t="s">
        <v>45</v>
      </c>
      <c r="J10" s="5">
        <v>3</v>
      </c>
      <c r="K10" s="2" t="s">
        <v>152</v>
      </c>
      <c r="L10" s="2" t="s">
        <v>63</v>
      </c>
      <c r="M10" s="2" t="s">
        <v>19</v>
      </c>
      <c r="N10" s="2" t="s">
        <v>51</v>
      </c>
      <c r="O10" s="2" t="s">
        <v>153</v>
      </c>
      <c r="P10" s="6" t="str">
        <f t="shared" si="0"/>
        <v>Sim</v>
      </c>
      <c r="Q10" s="3" t="str">
        <f t="shared" si="1"/>
        <v>Alta</v>
      </c>
    </row>
    <row r="11" spans="1:17" ht="43.95" customHeight="1" x14ac:dyDescent="0.3">
      <c r="A11" s="2">
        <v>7</v>
      </c>
      <c r="B11" s="2" t="s">
        <v>143</v>
      </c>
      <c r="C11" s="2">
        <v>2018</v>
      </c>
      <c r="D11" s="2" t="s">
        <v>71</v>
      </c>
      <c r="E11" s="2" t="s">
        <v>72</v>
      </c>
      <c r="F11" s="2" t="s">
        <v>154</v>
      </c>
      <c r="G11" s="2" t="s">
        <v>155</v>
      </c>
      <c r="H11" s="7" t="s">
        <v>77</v>
      </c>
      <c r="I11" s="2" t="s">
        <v>75</v>
      </c>
      <c r="J11" s="5">
        <v>3</v>
      </c>
      <c r="K11" s="2" t="s">
        <v>152</v>
      </c>
      <c r="L11" s="2" t="s">
        <v>73</v>
      </c>
      <c r="M11" s="2" t="s">
        <v>17</v>
      </c>
      <c r="N11" s="2" t="s">
        <v>74</v>
      </c>
      <c r="O11" s="2" t="s">
        <v>156</v>
      </c>
      <c r="P11" s="6" t="str">
        <f t="shared" si="0"/>
        <v>Não</v>
      </c>
      <c r="Q11" s="3" t="str">
        <f t="shared" si="1"/>
        <v>Alta</v>
      </c>
    </row>
    <row r="12" spans="1:17" ht="43.95" customHeight="1" x14ac:dyDescent="0.3">
      <c r="A12" s="2">
        <v>8</v>
      </c>
      <c r="B12" s="2" t="s">
        <v>140</v>
      </c>
      <c r="C12" s="2"/>
      <c r="D12" s="2" t="s">
        <v>99</v>
      </c>
      <c r="E12" s="2" t="s">
        <v>100</v>
      </c>
      <c r="F12" s="2"/>
      <c r="G12" s="2"/>
      <c r="H12" s="7" t="s">
        <v>101</v>
      </c>
      <c r="I12" s="2" t="s">
        <v>45</v>
      </c>
      <c r="J12" s="5">
        <v>3</v>
      </c>
      <c r="K12" s="2" t="s">
        <v>152</v>
      </c>
      <c r="L12" s="2" t="s">
        <v>63</v>
      </c>
      <c r="M12" s="2" t="s">
        <v>17</v>
      </c>
      <c r="N12" s="2" t="s">
        <v>44</v>
      </c>
      <c r="O12" s="2" t="s">
        <v>157</v>
      </c>
      <c r="P12" s="6" t="str">
        <f t="shared" si="0"/>
        <v>Sim</v>
      </c>
      <c r="Q12" s="3" t="str">
        <f t="shared" si="1"/>
        <v>Alta</v>
      </c>
    </row>
    <row r="13" spans="1:17" ht="43.95" customHeight="1" x14ac:dyDescent="0.3">
      <c r="A13" s="2">
        <v>9</v>
      </c>
      <c r="B13" s="2" t="s">
        <v>140</v>
      </c>
      <c r="C13" s="2"/>
      <c r="D13" s="2" t="s">
        <v>96</v>
      </c>
      <c r="E13" s="2" t="s">
        <v>97</v>
      </c>
      <c r="F13" s="2"/>
      <c r="G13" s="2"/>
      <c r="H13" s="7" t="s">
        <v>98</v>
      </c>
      <c r="I13" s="2" t="s">
        <v>45</v>
      </c>
      <c r="J13" s="5">
        <v>3</v>
      </c>
      <c r="K13" s="2" t="s">
        <v>152</v>
      </c>
      <c r="L13" s="2" t="s">
        <v>63</v>
      </c>
      <c r="M13" s="2" t="s">
        <v>17</v>
      </c>
      <c r="N13" s="2" t="s">
        <v>88</v>
      </c>
      <c r="O13" s="2" t="s">
        <v>158</v>
      </c>
      <c r="P13" s="6" t="str">
        <f t="shared" si="0"/>
        <v>Sim</v>
      </c>
      <c r="Q13" s="3" t="str">
        <f t="shared" si="1"/>
        <v>Alta</v>
      </c>
    </row>
    <row r="14" spans="1:17" ht="43.95" customHeight="1" x14ac:dyDescent="0.3">
      <c r="A14" s="2">
        <v>10</v>
      </c>
      <c r="B14" s="2" t="s">
        <v>140</v>
      </c>
      <c r="C14" s="2"/>
      <c r="D14" s="2" t="s">
        <v>93</v>
      </c>
      <c r="E14" s="2" t="s">
        <v>94</v>
      </c>
      <c r="F14" s="2"/>
      <c r="G14" s="2"/>
      <c r="H14" s="7" t="s">
        <v>95</v>
      </c>
      <c r="I14" s="2" t="s">
        <v>75</v>
      </c>
      <c r="J14" s="5">
        <v>3</v>
      </c>
      <c r="K14" s="2" t="s">
        <v>152</v>
      </c>
      <c r="L14" s="2" t="s">
        <v>63</v>
      </c>
      <c r="M14" s="2" t="s">
        <v>15</v>
      </c>
      <c r="N14" s="2" t="s">
        <v>74</v>
      </c>
      <c r="O14" s="2" t="s">
        <v>159</v>
      </c>
      <c r="P14" s="6" t="str">
        <f t="shared" si="0"/>
        <v>Sim</v>
      </c>
      <c r="Q14" s="3" t="str">
        <f t="shared" si="1"/>
        <v>Alta</v>
      </c>
    </row>
    <row r="15" spans="1:17" ht="43.95" customHeight="1" x14ac:dyDescent="0.3">
      <c r="A15" s="2">
        <v>11</v>
      </c>
      <c r="B15" s="2" t="s">
        <v>160</v>
      </c>
      <c r="C15" s="2">
        <v>2001</v>
      </c>
      <c r="D15" s="2" t="s">
        <v>85</v>
      </c>
      <c r="E15" s="2" t="s">
        <v>86</v>
      </c>
      <c r="F15" s="2" t="s">
        <v>161</v>
      </c>
      <c r="G15" s="2" t="s">
        <v>162</v>
      </c>
      <c r="H15" s="7" t="s">
        <v>89</v>
      </c>
      <c r="I15" s="2" t="s">
        <v>45</v>
      </c>
      <c r="J15" s="5">
        <v>3</v>
      </c>
      <c r="K15" s="2" t="s">
        <v>163</v>
      </c>
      <c r="L15" s="2" t="s">
        <v>87</v>
      </c>
      <c r="M15" s="2" t="s">
        <v>21</v>
      </c>
      <c r="N15" s="2" t="s">
        <v>88</v>
      </c>
      <c r="O15" s="2" t="s">
        <v>59</v>
      </c>
      <c r="P15" s="6" t="str">
        <f t="shared" si="0"/>
        <v>Não</v>
      </c>
      <c r="Q15" s="3" t="str">
        <f t="shared" si="1"/>
        <v>Alta</v>
      </c>
    </row>
    <row r="16" spans="1:17" ht="43.95" customHeight="1" x14ac:dyDescent="0.3">
      <c r="A16" s="2">
        <v>12</v>
      </c>
      <c r="B16" s="2" t="s">
        <v>140</v>
      </c>
      <c r="C16" s="2"/>
      <c r="D16" s="2" t="s">
        <v>128</v>
      </c>
      <c r="E16" s="2" t="s">
        <v>128</v>
      </c>
      <c r="F16" s="2"/>
      <c r="G16" s="2"/>
      <c r="H16" s="7" t="s">
        <v>89</v>
      </c>
      <c r="I16" s="2" t="s">
        <v>45</v>
      </c>
      <c r="J16" s="8">
        <v>1</v>
      </c>
      <c r="K16" s="2" t="s">
        <v>164</v>
      </c>
      <c r="L16" s="2" t="s">
        <v>63</v>
      </c>
      <c r="M16" s="2" t="s">
        <v>21</v>
      </c>
      <c r="N16" s="2" t="s">
        <v>88</v>
      </c>
      <c r="O16" s="2" t="s">
        <v>142</v>
      </c>
      <c r="P16" s="6" t="str">
        <f t="shared" si="0"/>
        <v>Sim</v>
      </c>
      <c r="Q16" s="3" t="str">
        <f t="shared" si="1"/>
        <v>Baixa</v>
      </c>
    </row>
    <row r="17" spans="1:17" ht="43.95" customHeight="1" x14ac:dyDescent="0.3">
      <c r="A17" s="2">
        <v>13</v>
      </c>
      <c r="B17" s="2" t="s">
        <v>135</v>
      </c>
      <c r="C17" s="2">
        <v>2017</v>
      </c>
      <c r="D17" s="2" t="s">
        <v>78</v>
      </c>
      <c r="E17" s="2" t="s">
        <v>79</v>
      </c>
      <c r="F17" s="2" t="s">
        <v>165</v>
      </c>
      <c r="G17" s="2" t="s">
        <v>166</v>
      </c>
      <c r="H17" s="7" t="s">
        <v>81</v>
      </c>
      <c r="I17" s="2" t="s">
        <v>45</v>
      </c>
      <c r="J17" s="5">
        <v>3</v>
      </c>
      <c r="K17" s="2" t="s">
        <v>152</v>
      </c>
      <c r="L17" s="2" t="s">
        <v>80</v>
      </c>
      <c r="M17" s="2" t="s">
        <v>19</v>
      </c>
      <c r="N17" s="2" t="s">
        <v>74</v>
      </c>
      <c r="O17" s="2" t="s">
        <v>167</v>
      </c>
      <c r="P17" s="6" t="str">
        <f t="shared" si="0"/>
        <v>Não</v>
      </c>
      <c r="Q17" s="3" t="str">
        <f t="shared" si="1"/>
        <v>Alta</v>
      </c>
    </row>
    <row r="18" spans="1:17" ht="43.95" customHeight="1" x14ac:dyDescent="0.3">
      <c r="A18" s="2">
        <v>14</v>
      </c>
      <c r="B18" s="2" t="s">
        <v>143</v>
      </c>
      <c r="C18" s="2">
        <v>2018</v>
      </c>
      <c r="D18" s="2" t="s">
        <v>66</v>
      </c>
      <c r="E18" s="2" t="s">
        <v>67</v>
      </c>
      <c r="F18" s="2" t="s">
        <v>168</v>
      </c>
      <c r="G18" s="2" t="s">
        <v>169</v>
      </c>
      <c r="H18" s="7" t="s">
        <v>70</v>
      </c>
      <c r="I18" s="2" t="s">
        <v>68</v>
      </c>
      <c r="J18" s="5">
        <v>3</v>
      </c>
      <c r="K18" s="2" t="s">
        <v>152</v>
      </c>
      <c r="L18" s="2" t="s">
        <v>43</v>
      </c>
      <c r="M18" s="2" t="s">
        <v>19</v>
      </c>
      <c r="N18" s="2" t="s">
        <v>51</v>
      </c>
      <c r="O18" s="2" t="s">
        <v>170</v>
      </c>
      <c r="P18" s="6" t="str">
        <f t="shared" si="0"/>
        <v>Não</v>
      </c>
      <c r="Q18" s="3" t="str">
        <f t="shared" si="1"/>
        <v>Alta</v>
      </c>
    </row>
    <row r="19" spans="1:17" ht="43.95" customHeight="1" x14ac:dyDescent="0.3">
      <c r="A19" s="2">
        <v>15</v>
      </c>
      <c r="B19" s="2" t="s">
        <v>140</v>
      </c>
      <c r="C19" s="2"/>
      <c r="D19" s="2" t="s">
        <v>102</v>
      </c>
      <c r="E19" s="2" t="s">
        <v>103</v>
      </c>
      <c r="F19" s="2"/>
      <c r="G19" s="2"/>
      <c r="H19" s="7" t="s">
        <v>104</v>
      </c>
      <c r="I19" s="2" t="s">
        <v>75</v>
      </c>
      <c r="J19" s="5">
        <v>3</v>
      </c>
      <c r="K19" s="2" t="s">
        <v>152</v>
      </c>
      <c r="L19" s="2" t="s">
        <v>63</v>
      </c>
      <c r="M19" s="2" t="s">
        <v>21</v>
      </c>
      <c r="N19" s="2" t="s">
        <v>88</v>
      </c>
      <c r="O19" s="2" t="s">
        <v>171</v>
      </c>
      <c r="P19" s="6" t="str">
        <f t="shared" si="0"/>
        <v>Sim</v>
      </c>
      <c r="Q19" s="3" t="str">
        <f t="shared" si="1"/>
        <v>Alta</v>
      </c>
    </row>
    <row r="20" spans="1:17" ht="43.95" customHeight="1" x14ac:dyDescent="0.3">
      <c r="A20" s="2">
        <v>16</v>
      </c>
      <c r="B20" s="2" t="s">
        <v>140</v>
      </c>
      <c r="C20" s="2"/>
      <c r="D20" s="2" t="s">
        <v>90</v>
      </c>
      <c r="E20" s="2" t="s">
        <v>91</v>
      </c>
      <c r="F20" s="2"/>
      <c r="G20" s="2"/>
      <c r="H20" s="7" t="s">
        <v>92</v>
      </c>
      <c r="I20" s="2" t="s">
        <v>45</v>
      </c>
      <c r="J20" s="5">
        <v>3</v>
      </c>
      <c r="K20" s="2" t="s">
        <v>152</v>
      </c>
      <c r="L20" s="2" t="s">
        <v>63</v>
      </c>
      <c r="M20" s="2" t="s">
        <v>17</v>
      </c>
      <c r="N20" s="2" t="s">
        <v>44</v>
      </c>
      <c r="O20" s="2" t="s">
        <v>157</v>
      </c>
      <c r="P20" s="6" t="str">
        <f t="shared" si="0"/>
        <v>Sim</v>
      </c>
      <c r="Q20" s="3" t="str">
        <f t="shared" si="1"/>
        <v>Alta</v>
      </c>
    </row>
    <row r="21" spans="1:17" ht="43.95" customHeight="1" x14ac:dyDescent="0.3">
      <c r="A21" s="2">
        <v>17</v>
      </c>
      <c r="B21" s="2" t="s">
        <v>140</v>
      </c>
      <c r="C21" s="2">
        <v>2002</v>
      </c>
      <c r="D21" s="2" t="s">
        <v>82</v>
      </c>
      <c r="E21" s="2" t="s">
        <v>83</v>
      </c>
      <c r="F21" s="2"/>
      <c r="G21" s="2"/>
      <c r="H21" s="7" t="s">
        <v>84</v>
      </c>
      <c r="I21" s="2" t="s">
        <v>45</v>
      </c>
      <c r="J21" s="5">
        <v>3</v>
      </c>
      <c r="K21" s="2" t="s">
        <v>152</v>
      </c>
      <c r="L21" s="2" t="s">
        <v>63</v>
      </c>
      <c r="M21" s="2" t="s">
        <v>19</v>
      </c>
      <c r="N21" s="2" t="s">
        <v>74</v>
      </c>
      <c r="O21" s="2" t="s">
        <v>172</v>
      </c>
      <c r="P21" s="6" t="str">
        <f t="shared" si="0"/>
        <v>Sim</v>
      </c>
      <c r="Q21" s="3" t="str">
        <f t="shared" si="1"/>
        <v>Alta</v>
      </c>
    </row>
    <row r="22" spans="1:17" ht="43.95" customHeight="1" x14ac:dyDescent="0.3">
      <c r="A22" s="2">
        <v>18</v>
      </c>
      <c r="B22" s="2" t="s">
        <v>143</v>
      </c>
      <c r="C22" s="2">
        <v>2025</v>
      </c>
      <c r="D22" s="2" t="s">
        <v>41</v>
      </c>
      <c r="E22" s="2" t="s">
        <v>42</v>
      </c>
      <c r="F22" s="2" t="s">
        <v>173</v>
      </c>
      <c r="G22" s="2" t="s">
        <v>174</v>
      </c>
      <c r="H22" s="7" t="s">
        <v>47</v>
      </c>
      <c r="I22" s="2" t="s">
        <v>45</v>
      </c>
      <c r="J22" s="5">
        <v>3</v>
      </c>
      <c r="K22" s="2" t="s">
        <v>152</v>
      </c>
      <c r="L22" s="2" t="s">
        <v>43</v>
      </c>
      <c r="M22" s="2" t="s">
        <v>15</v>
      </c>
      <c r="N22" s="2" t="s">
        <v>44</v>
      </c>
      <c r="O22" s="2" t="s">
        <v>46</v>
      </c>
      <c r="P22" s="6" t="str">
        <f t="shared" si="0"/>
        <v>Não</v>
      </c>
      <c r="Q22" s="3" t="str">
        <f t="shared" si="1"/>
        <v>Alta</v>
      </c>
    </row>
    <row r="23" spans="1:17" ht="43.95" customHeight="1" x14ac:dyDescent="0.3">
      <c r="A23" s="2">
        <v>19</v>
      </c>
      <c r="B23" s="2" t="s">
        <v>143</v>
      </c>
      <c r="C23" s="2">
        <v>2023</v>
      </c>
      <c r="D23" s="2" t="s">
        <v>48</v>
      </c>
      <c r="E23" s="2" t="s">
        <v>49</v>
      </c>
      <c r="F23" s="2" t="s">
        <v>175</v>
      </c>
      <c r="G23" s="2" t="s">
        <v>176</v>
      </c>
      <c r="H23" s="7" t="s">
        <v>54</v>
      </c>
      <c r="I23" s="2" t="s">
        <v>52</v>
      </c>
      <c r="J23" s="5">
        <v>3</v>
      </c>
      <c r="K23" s="2" t="s">
        <v>152</v>
      </c>
      <c r="L23" s="2" t="s">
        <v>50</v>
      </c>
      <c r="M23" s="2" t="s">
        <v>17</v>
      </c>
      <c r="N23" s="2" t="s">
        <v>51</v>
      </c>
      <c r="O23" s="2" t="s">
        <v>177</v>
      </c>
      <c r="P23" s="6" t="str">
        <f t="shared" si="0"/>
        <v>Não</v>
      </c>
      <c r="Q23" s="3" t="str">
        <f t="shared" si="1"/>
        <v>Alta</v>
      </c>
    </row>
    <row r="24" spans="1:17" ht="43.95" customHeight="1" x14ac:dyDescent="0.3">
      <c r="A24" s="2">
        <v>20</v>
      </c>
      <c r="B24" s="2" t="s">
        <v>178</v>
      </c>
      <c r="C24" s="2">
        <v>2022</v>
      </c>
      <c r="D24" s="2" t="s">
        <v>55</v>
      </c>
      <c r="E24" s="2" t="s">
        <v>56</v>
      </c>
      <c r="F24" s="2" t="s">
        <v>179</v>
      </c>
      <c r="G24" s="2" t="s">
        <v>180</v>
      </c>
      <c r="H24" s="7" t="s">
        <v>60</v>
      </c>
      <c r="I24" s="2" t="s">
        <v>45</v>
      </c>
      <c r="J24" s="5">
        <v>3</v>
      </c>
      <c r="K24" s="2" t="s">
        <v>152</v>
      </c>
      <c r="L24" s="2" t="s">
        <v>57</v>
      </c>
      <c r="M24" s="2" t="s">
        <v>15</v>
      </c>
      <c r="N24" s="2" t="s">
        <v>58</v>
      </c>
      <c r="O24" s="2" t="s">
        <v>59</v>
      </c>
      <c r="P24" s="6" t="str">
        <f t="shared" si="0"/>
        <v>Não</v>
      </c>
      <c r="Q24" s="3" t="str">
        <f t="shared" si="1"/>
        <v>Alta</v>
      </c>
    </row>
    <row r="25" spans="1:17" ht="43.95" customHeight="1" x14ac:dyDescent="0.3">
      <c r="A25" s="2">
        <v>21</v>
      </c>
      <c r="B25" s="2" t="s">
        <v>135</v>
      </c>
      <c r="C25" s="2"/>
      <c r="D25" s="2" t="s">
        <v>105</v>
      </c>
      <c r="E25" s="2" t="s">
        <v>106</v>
      </c>
      <c r="F25" s="2" t="s">
        <v>181</v>
      </c>
      <c r="G25" s="2" t="s">
        <v>137</v>
      </c>
      <c r="H25" s="7" t="s">
        <v>107</v>
      </c>
      <c r="I25" s="2" t="s">
        <v>75</v>
      </c>
      <c r="J25" s="5">
        <v>3</v>
      </c>
      <c r="K25" s="2" t="s">
        <v>152</v>
      </c>
      <c r="L25" s="2" t="s">
        <v>80</v>
      </c>
      <c r="M25" s="2" t="s">
        <v>15</v>
      </c>
      <c r="N25" s="2" t="s">
        <v>51</v>
      </c>
      <c r="O25" s="2" t="s">
        <v>182</v>
      </c>
      <c r="P25" s="6" t="str">
        <f t="shared" si="0"/>
        <v>Não</v>
      </c>
      <c r="Q25" s="3" t="str">
        <f t="shared" si="1"/>
        <v>Alta</v>
      </c>
    </row>
    <row r="27" spans="1:17" x14ac:dyDescent="0.3">
      <c r="A27" t="s">
        <v>213</v>
      </c>
    </row>
  </sheetData>
  <mergeCells count="2">
    <mergeCell ref="A2:Q2"/>
    <mergeCell ref="A1:Q1"/>
  </mergeCells>
  <pageMargins left="0.7" right="0.7" top="0.75" bottom="0.75" header="0.3" footer="0.3"/>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showGridLines="0" tabSelected="1" workbookViewId="0">
      <selection activeCell="A2" sqref="A2:D2"/>
    </sheetView>
  </sheetViews>
  <sheetFormatPr defaultRowHeight="14.4" x14ac:dyDescent="0.3"/>
  <cols>
    <col min="1" max="1" width="12" customWidth="1"/>
    <col min="2" max="2" width="34" customWidth="1"/>
    <col min="3" max="3" width="28" customWidth="1"/>
    <col min="4" max="4" width="56" customWidth="1"/>
  </cols>
  <sheetData>
    <row r="1" spans="1:4" ht="24" customHeight="1" x14ac:dyDescent="0.3">
      <c r="A1" s="10" t="s">
        <v>183</v>
      </c>
      <c r="B1" s="9"/>
      <c r="C1" s="9"/>
      <c r="D1" s="9"/>
    </row>
    <row r="2" spans="1:4" ht="34.049999999999997" customHeight="1" x14ac:dyDescent="0.3">
      <c r="A2" s="14" t="s">
        <v>204</v>
      </c>
      <c r="B2" s="15"/>
      <c r="C2" s="15"/>
      <c r="D2" s="15"/>
    </row>
    <row r="4" spans="1:4" x14ac:dyDescent="0.3">
      <c r="A4" s="13" t="s">
        <v>210</v>
      </c>
      <c r="B4" s="1" t="s">
        <v>1</v>
      </c>
      <c r="C4" s="1" t="s">
        <v>184</v>
      </c>
      <c r="D4" s="1" t="s">
        <v>185</v>
      </c>
    </row>
    <row r="5" spans="1:4" ht="30" customHeight="1" x14ac:dyDescent="0.3">
      <c r="A5" s="19" t="s">
        <v>32</v>
      </c>
      <c r="B5" s="12" t="s">
        <v>186</v>
      </c>
      <c r="C5" s="12" t="s">
        <v>187</v>
      </c>
      <c r="D5" s="12" t="s">
        <v>188</v>
      </c>
    </row>
    <row r="6" spans="1:4" ht="30" customHeight="1" x14ac:dyDescent="0.3">
      <c r="A6" s="20"/>
      <c r="B6" s="12" t="s">
        <v>189</v>
      </c>
      <c r="C6" s="12" t="s">
        <v>190</v>
      </c>
      <c r="D6" s="12" t="s">
        <v>191</v>
      </c>
    </row>
    <row r="7" spans="1:4" ht="30" customHeight="1" x14ac:dyDescent="0.3">
      <c r="A7" s="21"/>
      <c r="B7" s="12" t="s">
        <v>192</v>
      </c>
      <c r="C7" s="12" t="s">
        <v>193</v>
      </c>
      <c r="D7" s="12" t="s">
        <v>194</v>
      </c>
    </row>
    <row r="8" spans="1:4" ht="30" customHeight="1" x14ac:dyDescent="0.3">
      <c r="A8" s="22" t="s">
        <v>33</v>
      </c>
      <c r="B8" s="12" t="s">
        <v>195</v>
      </c>
      <c r="C8" s="12" t="s">
        <v>196</v>
      </c>
      <c r="D8" s="12" t="s">
        <v>197</v>
      </c>
    </row>
    <row r="9" spans="1:4" ht="30" customHeight="1" x14ac:dyDescent="0.3">
      <c r="A9" s="22" t="s">
        <v>34</v>
      </c>
      <c r="B9" s="12" t="s">
        <v>198</v>
      </c>
      <c r="C9" s="12" t="s">
        <v>199</v>
      </c>
      <c r="D9" s="12" t="s">
        <v>200</v>
      </c>
    </row>
    <row r="10" spans="1:4" ht="30" customHeight="1" x14ac:dyDescent="0.3">
      <c r="A10" s="22" t="s">
        <v>35</v>
      </c>
      <c r="B10" s="12" t="s">
        <v>201</v>
      </c>
      <c r="C10" s="12" t="s">
        <v>202</v>
      </c>
      <c r="D10" s="12" t="s">
        <v>203</v>
      </c>
    </row>
  </sheetData>
  <mergeCells count="3">
    <mergeCell ref="A1:D1"/>
    <mergeCell ref="A2:D2"/>
    <mergeCell ref="A5: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Resumo</vt:lpstr>
      <vt:lpstr>Triagem_de_docs</vt:lpstr>
      <vt:lpstr>Metadados</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Mauro Elsas</cp:lastModifiedBy>
  <dcterms:modified xsi:type="dcterms:W3CDTF">2026-03-09T19:07:19Z</dcterms:modified>
</cp:coreProperties>
</file>