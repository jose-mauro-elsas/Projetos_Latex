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c959e7628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odologia" sheetId="1" r:id="R8f0b54685e394538"/>
    <x:sheet xmlns:r="http://schemas.openxmlformats.org/officeDocument/2006/relationships" name="Plataformas em Operação" sheetId="2" r:id="R4813adefccc445ba"/>
    <x:sheet xmlns:r="http://schemas.openxmlformats.org/officeDocument/2006/relationships" name="Comparação" sheetId="3" r:id="R480ef5adac9b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1"/>
      <x:name val="Calibri"/>
    </x:font>
    <x:font>
      <x:sz val="11"/>
      <x:name val="Calibri"/>
    </x:font>
    <x:font>
      <x:sz val="8"/>
      <x:name val="Calibri"/>
    </x:font>
    <x:font>
      <x:sz val="9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Alignment="1">
      <x:alignment horizontal="center" vertical="center"/>
    </x:xf>
    <x:xf numFmtId="0" fontId="1" fillId="0" borderId="0" xfId="0" applyAlignment="1">
      <x:alignment vertical="center" wrapText="1"/>
    </x:xf>
    <x:xf numFmtId="0" fontId="2" fillId="0" borderId="0" xfId="0" applyAlignment="1">
      <x:alignment vertical="center" wrapText="1"/>
    </x:xf>
    <x:xf numFmtId="0" fontId="1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3" fillId="0" borderId="0" xfId="0" applyAlignment="1">
      <x:alignment vertical="center" shrinkToFi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9ee52f6a04a25" /><Relationship Type="http://schemas.openxmlformats.org/officeDocument/2006/relationships/theme" Target="/xl/theme/theme1.xml" Id="R7b5fc4aadb174f9b" /><Relationship Type="http://schemas.openxmlformats.org/officeDocument/2006/relationships/sharedStrings" Target="/xl/sharedStrings.xml" Id="R590dfaea4e794532" /><Relationship Type="http://schemas.openxmlformats.org/officeDocument/2006/relationships/worksheet" Target="/xl/worksheets/sheet1.xml" Id="R8f0b54685e394538" /><Relationship Type="http://schemas.openxmlformats.org/officeDocument/2006/relationships/worksheet" Target="/xl/worksheets/sheet2.xml" Id="R4813adefccc445ba" /><Relationship Type="http://schemas.openxmlformats.org/officeDocument/2006/relationships/worksheet" Target="/xl/worksheets/sheet3.xml" Id="R480ef5adac9b4f7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120" customWidth="1"/>
  </x:cols>
  <x:sheetData>
    <x:row r="1" ht="22" customHeight="1">
      <x:c r="A1" s="2" t="inlineStr">
        <x:is>
          <x:t xml:space="preserve">Data da conferência</x:t>
        </x:is>
      </x:c>
      <x:c r="B1" s="3" t="inlineStr">
        <x:is>
          <x:t xml:space="preserve">15/03/2026</x:t>
        </x:is>
      </x:c>
    </x:row>
    <x:row r="2" ht="22" customHeight="1">
      <x:c r="A2" s="2" t="inlineStr">
        <x:is>
          <x:t xml:space="preserve">Critério usado</x:t>
        </x:is>
      </x:c>
      <x:c r="B2" s="3" t="inlineStr">
        <x:is>
          <x:t xml:space="preserve">Presença na "Lista de Plataformas em Operação" da ANP</x:t>
        </x:is>
      </x:c>
    </x:row>
    <x:row r="3" ht="32" customHeight="1">
      <x:c r="A3" s="2" t="inlineStr">
        <x:is>
          <x:t xml:space="preserve">Base pública consultada</x:t>
        </x:is>
      </x:c>
      <x:c r="B3" s="6" t="inlineStr">
        <x:is>
          <x:t xml:space="preserve">https://www.gov.br/anp/pt-br/centrais-de-conteudo/dados-abertos/fase-de-desenvolvimento-e-producao</x:t>
        </x:is>
      </x:c>
    </x:row>
    <x:row r="4" ht="32" customHeight="1">
      <x:c r="A4" s="2" t="inlineStr">
        <x:is>
          <x:t xml:space="preserve">Arquivo de dados usado</x:t>
        </x:is>
      </x:c>
      <x:c r="B4" s="6" t="inlineStr">
        <x:is>
          <x:t xml:space="preserve">https://www.gov.br/anp/pt-br/centrais-de-conteudo/dados-abertos/arquivos/arquivos-fase-de-desenvolvimento-e-producao/lpo/dados-abertos-plataformas-operacao.csv</x:t>
        </x:is>
      </x:c>
    </x:row>
    <x:row r="5" ht="22" customHeight="1">
      <x:c r="A5" s="2" t="inlineStr">
        <x:is>
          <x:t xml:space="preserve">Atualização informada pela ANP na página da base</x:t>
        </x:is>
      </x:c>
      <x:c r="B5" s="3" t="inlineStr">
        <x:is>
          <x:t xml:space="preserve">05/03/2026</x:t>
        </x:is>
      </x:c>
    </x:row>
    <x:row r="6" ht="22" customHeight="1">
      <x:c r="A6" s="2" t="inlineStr">
        <x:is>
          <x:t xml:space="preserve">Total na planilha original</x:t>
        </x:is>
      </x:c>
      <x:c r="B6" s="3" t="n">
        <x:v>75</x:v>
      </x:c>
    </x:row>
    <x:row r="7" ht="22" customHeight="1">
      <x:c r="A7" s="2" t="inlineStr">
        <x:is>
          <x:t xml:space="preserve">Total na lista atual ANP</x:t>
        </x:is>
      </x:c>
      <x:c r="B7" s="3" t="n">
        <x:v>75</x:v>
      </x:c>
    </x:row>
    <x:row r="8" ht="22" customHeight="1">
      <x:c r="A8" s="2" t="inlineStr">
        <x:is>
          <x:t xml:space="preserve">Plataformas mantidas</x:t>
        </x:is>
      </x:c>
      <x:c r="B8" s="3" t="n">
        <x:v>74</x:v>
      </x:c>
    </x:row>
    <x:row r="9" ht="22" customHeight="1">
      <x:c r="A9" s="2" t="inlineStr">
        <x:is>
          <x:t xml:space="preserve">Removidas em relação à planilha original</x:t>
        </x:is>
      </x:c>
      <x:c r="B9" s="3" t="n">
        <x:v>1</x:v>
      </x:c>
    </x:row>
    <x:row r="10" ht="22" customHeight="1">
      <x:c r="A10" s="2" t="inlineStr">
        <x:is>
          <x:t xml:space="preserve">Adicionadas em relação à planilha original</x:t>
        </x:is>
      </x:c>
      <x:c r="B10" s="3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399999618530273"/>
  <x:cols>
    <x:col min="1" max="1" width="16" customWidth="1"/>
    <x:col min="2" max="2" width="44" customWidth="1"/>
    <x:col min="3" max="3" width="45" customWidth="1"/>
    <x:col min="4" max="4" width="14.6640625" customWidth="1"/>
    <x:col min="5" max="5" width="40" customWidth="1"/>
    <x:col min="6" max="6" width="45" customWidth="1"/>
    <x:col min="7" max="7" width="17.21875" customWidth="1"/>
    <x:col min="8" max="8" width="21.109375" customWidth="1"/>
    <x:col min="9" max="9" width="23.44140625" customWidth="1"/>
    <x:col min="10" max="10" width="23.44140625" customWidth="1"/>
    <x:col min="11" max="12" width="14" customWidth="1"/>
    <x:col min="13" max="13" width="28" customWidth="1"/>
    <x:col min="14" max="14" width="30" customWidth="1"/>
    <x:col min="15" max="15" width="85" customWidth="1"/>
  </x:cols>
  <x:sheetData>
    <x:row r="1">
      <x:c r="A1" s="1" t="inlineStr">
        <x:is>
          <x:t xml:space="preserve">Sigla</x:t>
        </x:is>
      </x:c>
      <x:c r="B1" s="1" t="inlineStr">
        <x:is>
          <x:t xml:space="preserve">Nome da Instalação</x:t>
        </x:is>
      </x:c>
      <x:c r="C1" s="1" t="inlineStr">
        <x:is>
          <x:t xml:space="preserve">Campo(s)</x:t>
        </x:is>
      </x:c>
      <x:c r="D1" s="1" t="inlineStr">
        <x:is>
          <x:t xml:space="preserve">Bacia</x:t>
        </x:is>
      </x:c>
      <x:c r="E1" s="1" t="inlineStr">
        <x:is>
          <x:t xml:space="preserve">Operador</x:t>
        </x:is>
      </x:c>
      <x:c r="F1" s="1" t="inlineStr">
        <x:is>
          <x:t xml:space="preserve">Tipo de Instalação</x:t>
        </x:is>
      </x:c>
      <x:c r="G1" s="1" t="inlineStr">
        <x:is>
          <x:t xml:space="preserve">Lâmina d’Água (m)</x:t>
        </x:is>
      </x:c>
      <x:c r="H1" s="1" t="inlineStr">
        <x:is>
          <x:t xml:space="preserve">Sistema de Escoamento</x:t>
        </x:is>
      </x:c>
      <x:c r="I1" s="1" t="inlineStr">
        <x:is>
          <x:t xml:space="preserve">Ano de Início de Operação</x:t>
        </x:is>
      </x:c>
      <x:c r="J1" s="1" t="inlineStr">
        <x:is>
          <x:t xml:space="preserve">Fim das Vida útil</x:t>
        </x:is>
      </x:c>
      <x:c r="K1" s="1" t="inlineStr">
        <x:is>
          <x:t xml:space="preserve">Latitude</x:t>
        </x:is>
      </x:c>
      <x:c r="L1" s="1" t="inlineStr">
        <x:is>
          <x:t xml:space="preserve">Longitude</x:t>
        </x:is>
      </x:c>
      <x:c r="M1" s="1" t="inlineStr">
        <x:is>
          <x:t xml:space="preserve">Capacidade de Óleo (bbl/d)</x:t>
        </x:is>
      </x:c>
      <x:c r="N1" s="1" t="inlineStr">
        <x:is>
          <x:t xml:space="preserve">Capacidade de Gás (mil m³/d)</x:t>
        </x:is>
      </x:c>
      <x:c r="O1" s="4" t="inlineStr">
        <x:is>
          <x:t xml:space="preserve">Fonte ANP</x:t>
        </x:is>
      </x:c>
    </x:row>
    <x:row r="2">
      <x:c r="A2" t="inlineStr">
        <x:is>
          <x:t xml:space="preserve">P-65</x:t>
        </x:is>
      </x:c>
      <x:c r="B2" t="inlineStr">
        <x:is>
          <x:t xml:space="preserve">PLATAFORMA 65</x:t>
        </x:is>
      </x:c>
      <x:c r="C2" t="inlineStr">
        <x:is>
          <x:t xml:space="preserve">BONITO / ENCHOVA</x:t>
        </x:is>
      </x:c>
      <x:c r="D2" t="inlineStr">
        <x:is>
          <x:t xml:space="preserve">CAMPOS</x:t>
        </x:is>
      </x:c>
      <x:c r="E2" t="inlineStr">
        <x:is>
          <x:t xml:space="preserve">TRIDENT ENERGY DO BRASIL LTDA.</x:t>
        </x:is>
      </x:c>
      <x:c r="F2" t="inlineStr">
        <x:is>
          <x:t xml:space="preserve">Semissubmersível - SS</x:t>
        </x:is>
      </x:c>
      <x:c r="G2" t="n">
        <x:v>120</x:v>
      </x:c>
      <x:c r="H2" t="inlineStr">
        <x:is>
          <x:t xml:space="preserve">Duto</x:t>
        </x:is>
      </x:c>
      <x:c r="I2" t="n">
        <x:v>1966</x:v>
      </x:c>
      <x:c r="J2">
        <x:f>I2+30</x:f>
        <x:v>1996</x:v>
      </x:c>
      <x:c r="K2" t="n">
        <x:v>-22.70183667</x:v>
      </x:c>
      <x:c r="L2" t="n">
        <x:v>-40.67710639</x:v>
      </x:c>
      <x:c r="M2" t="n">
        <x:v>33320</x:v>
      </x:c>
      <x:c r="N2" t="n">
        <x:v>49</x:v>
      </x:c>
      <x:c r="O2" s="7" t="inlineStr">
        <x:is>
          <x:t xml:space="preserve">https://www.gov.br/anp/pt-br/centrais-de-conteudo/dados-abertos/fase-de-desenvolvimento-e-producao</x:t>
        </x:is>
      </x:c>
    </x:row>
    <x:row r="3">
      <x:c r="A3" t="inlineStr">
        <x:is>
          <x:t xml:space="preserve">PCE-1</x:t>
        </x:is>
      </x:c>
      <x:c r="B3" t="inlineStr">
        <x:is>
          <x:t xml:space="preserve">PLATAFORMA DE ENCHOVA</x:t>
        </x:is>
      </x:c>
      <x:c r="C3" t="inlineStr">
        <x:is>
          <x:t xml:space="preserve">BONITO / ENCHOVA / ENCHOVA OESTE</x:t>
        </x:is>
      </x:c>
      <x:c r="D3" t="inlineStr">
        <x:is>
          <x:t xml:space="preserve">CAMPOS</x:t>
        </x:is>
      </x:c>
      <x:c r="E3" t="inlineStr">
        <x:is>
          <x:t xml:space="preserve">TRIDENT ENERGY DO BRASIL LTDA.</x:t>
        </x:is>
      </x:c>
      <x:c r="F3" t="inlineStr">
        <x:is>
          <x:t xml:space="preserve">Plataforma Fixa - Jaqueta</x:t>
        </x:is>
      </x:c>
      <x:c r="G3" t="n">
        <x:v>116</x:v>
      </x:c>
      <x:c r="H3" t="inlineStr">
        <x:is>
          <x:t xml:space="preserve">Duto</x:t>
        </x:is>
      </x:c>
      <x:c r="I3" t="n">
        <x:v>1983</x:v>
      </x:c>
      <x:c r="J3">
        <x:f>I3+30</x:f>
        <x:v>2013</x:v>
      </x:c>
      <x:c r="K3" t="n">
        <x:v>-22.70836167</x:v>
      </x:c>
      <x:c r="L3" t="n">
        <x:v>-40.693215</x:v>
      </x:c>
      <x:c r="M3" t="n">
        <x:v>98121</x:v>
      </x:c>
      <x:c r="N3" t="n">
        <x:v>3895</x:v>
      </x:c>
      <x:c r="O3" s="7" t="inlineStr">
        <x:is>
          <x:t xml:space="preserve">https://www.gov.br/anp/pt-br/centrais-de-conteudo/dados-abertos/fase-de-desenvolvimento-e-producao</x:t>
        </x:is>
      </x:c>
    </x:row>
    <x:row r="4">
      <x:c r="A4" t="inlineStr">
        <x:is>
          <x:t xml:space="preserve">PPM-1</x:t>
        </x:is>
      </x:c>
      <x:c r="B4" t="inlineStr">
        <x:is>
          <x:t xml:space="preserve">PLATAFORMA DE PAMPO 1</x:t>
        </x:is>
      </x:c>
      <x:c r="C4" t="inlineStr">
        <x:is>
          <x:t xml:space="preserve">LINGUADO / PAMPO</x:t>
        </x:is>
      </x:c>
      <x:c r="D4" t="inlineStr">
        <x:is>
          <x:t xml:space="preserve">CAMPOS</x:t>
        </x:is>
      </x:c>
      <x:c r="E4" t="inlineStr">
        <x:is>
          <x:t xml:space="preserve">TRIDENT ENERGY DO BRASIL LTDA.</x:t>
        </x:is>
      </x:c>
      <x:c r="F4" t="inlineStr">
        <x:is>
          <x:t xml:space="preserve">Plataforma Fixa - Jaqueta</x:t>
        </x:is>
      </x:c>
      <x:c r="G4" t="n">
        <x:v>115</x:v>
      </x:c>
      <x:c r="H4" t="inlineStr">
        <x:is>
          <x:t xml:space="preserve">Duto</x:t>
        </x:is>
      </x:c>
      <x:c r="I4" t="n">
        <x:v>1984</x:v>
      </x:c>
      <x:c r="J4">
        <x:f>I4+30</x:f>
        <x:v>2014</x:v>
      </x:c>
      <x:c r="K4" t="n">
        <x:v>-22.7980075</x:v>
      </x:c>
      <x:c r="L4" t="n">
        <x:v>-40.76254444</x:v>
      </x:c>
      <x:c r="M4" t="n">
        <x:v>14300</x:v>
      </x:c>
      <x:c r="N4" t="n">
        <x:v>144</x:v>
      </x:c>
      <x:c r="O4" s="7" t="inlineStr">
        <x:is>
          <x:t xml:space="preserve">https://www.gov.br/anp/pt-br/centrais-de-conteudo/dados-abertos/fase-de-desenvolvimento-e-producao</x:t>
        </x:is>
      </x:c>
    </x:row>
    <x:row r="5">
      <x:c r="A5" t="inlineStr">
        <x:is>
          <x:t xml:space="preserve">PGP-1</x:t>
        </x:is>
      </x:c>
      <x:c r="B5" t="inlineStr">
        <x:is>
          <x:t xml:space="preserve">PLATAFORMA DE GAROUPA</x:t>
        </x:is>
      </x:c>
      <x:c r="C5" t="inlineStr">
        <x:is>
          <x:t xml:space="preserve">GAROUPA</x:t>
        </x:is>
      </x:c>
      <x:c r="D5" t="inlineStr">
        <x:is>
          <x:t xml:space="preserve">CAMPOS</x:t>
        </x:is>
      </x:c>
      <x:c r="E5" t="inlineStr">
        <x:is>
          <x:t xml:space="preserve">PETRÓLEO BRASILEIRO S.A. - PETROBRAS</x:t>
        </x:is>
      </x:c>
      <x:c r="F5" t="inlineStr">
        <x:is>
          <x:t xml:space="preserve">Plataforma Fixa - Jaqueta</x:t>
        </x:is>
      </x:c>
      <x:c r="G5" t="n">
        <x:v>120</x:v>
      </x:c>
      <x:c r="H5" t="inlineStr">
        <x:is>
          <x:t xml:space="preserve">Duto</x:t>
        </x:is>
      </x:c>
      <x:c r="I5" t="n">
        <x:v>1984</x:v>
      </x:c>
      <x:c r="J5">
        <x:f>I5+30</x:f>
        <x:v>2014</x:v>
      </x:c>
      <x:c r="K5" t="n">
        <x:v>-22.37477944</x:v>
      </x:c>
      <x:c r="L5" t="n">
        <x:v>-40.417455</x:v>
      </x:c>
      <x:c r="M5" t="n">
        <x:v>57080</x:v>
      </x:c>
      <x:c r="N5" t="n">
        <x:v>3000</x:v>
      </x:c>
      <x:c r="O5" s="7" t="inlineStr">
        <x:is>
          <x:t xml:space="preserve">https://www.gov.br/anp/pt-br/centrais-de-conteudo/dados-abertos/fase-de-desenvolvimento-e-producao</x:t>
        </x:is>
      </x:c>
    </x:row>
    <x:row r="6">
      <x:c r="A6" t="inlineStr">
        <x:is>
          <x:t xml:space="preserve">PPG-1A</x:t>
        </x:is>
      </x:c>
      <x:c r="B6" t="inlineStr">
        <x:is>
          <x:t xml:space="preserve">PLATAFORMA DE PARGO 1A</x:t>
        </x:is>
      </x:c>
      <x:c r="C6" t="inlineStr">
        <x:is>
          <x:t xml:space="preserve">PARGO</x:t>
        </x:is>
      </x:c>
      <x:c r="D6" t="inlineStr">
        <x:is>
          <x:t xml:space="preserve">CAMPOS</x:t>
        </x:is>
      </x:c>
      <x:c r="E6" t="inlineStr">
        <x:is>
          <x:t xml:space="preserve">PERENCO PETRÓLEO E GÁS DO BRASIL LTDA.</x:t>
        </x:is>
      </x:c>
      <x:c r="F6" t="inlineStr">
        <x:is>
          <x:t xml:space="preserve">Plataforma Fixa - Jaqueta</x:t>
        </x:is>
      </x:c>
      <x:c r="G6" t="n">
        <x:v>101</x:v>
      </x:c>
      <x:c r="H6" t="inlineStr">
        <x:is>
          <x:t xml:space="preserve">Duto</x:t>
        </x:is>
      </x:c>
      <x:c r="I6" t="n">
        <x:v>1988</x:v>
      </x:c>
      <x:c r="J6">
        <x:f>I6+30</x:f>
        <x:v>2018</x:v>
      </x:c>
      <x:c r="K6" t="n">
        <x:v>-22.25555306</x:v>
      </x:c>
      <x:c r="L6" t="n">
        <x:v>-40.32994917</x:v>
      </x:c>
      <x:c r="M6" t="n">
        <x:v>30000</x:v>
      </x:c>
      <x:c r="N6" t="n">
        <x:v>170</x:v>
      </x:c>
      <x:c r="O6" s="7" t="inlineStr">
        <x:is>
          <x:t xml:space="preserve">https://www.gov.br/anp/pt-br/centrais-de-conteudo/dados-abertos/fase-de-desenvolvimento-e-producao</x:t>
        </x:is>
      </x:c>
    </x:row>
    <x:row r="7">
      <x:c r="A7" t="inlineStr">
        <x:is>
          <x:t xml:space="preserve">PCP-I</x:t>
        </x:is>
      </x:c>
      <x:c r="B7" t="inlineStr">
        <x:is>
          <x:t xml:space="preserve">PLATAFORMA DE CARAPEBA 1</x:t>
        </x:is>
      </x:c>
      <x:c r="C7" t="inlineStr">
        <x:is>
          <x:t xml:space="preserve">CARAPEBA</x:t>
        </x:is>
      </x:c>
      <x:c r="D7" t="inlineStr">
        <x:is>
          <x:t xml:space="preserve">CAMPOS</x:t>
        </x:is>
      </x:c>
      <x:c r="E7" t="inlineStr">
        <x:is>
          <x:t xml:space="preserve">PERENCO PETRÓLEO E GÁS DO BRASIL LTDA.</x:t>
        </x:is>
      </x:c>
      <x:c r="F7" t="inlineStr">
        <x:is>
          <x:t xml:space="preserve">Plataforma Fixa - Jaqueta</x:t>
        </x:is>
      </x:c>
      <x:c r="G7" t="n">
        <x:v>86</x:v>
      </x:c>
      <x:c r="H7" t="inlineStr">
        <x:is>
          <x:t xml:space="preserve">Duto</x:t>
        </x:is>
      </x:c>
      <x:c r="I7" t="n">
        <x:v>1988</x:v>
      </x:c>
      <x:c r="J7">
        <x:f>I7+30</x:f>
        <x:v>2018</x:v>
      </x:c>
      <x:c r="K7" t="n">
        <x:v>-22.24508639</x:v>
      </x:c>
      <x:c r="L7" t="n">
        <x:v>-40.44303222</x:v>
      </x:c>
      <x:c r="O7" s="7" t="inlineStr">
        <x:is>
          <x:t xml:space="preserve">https://www.gov.br/anp/pt-br/centrais-de-conteudo/dados-abertos/fase-de-desenvolvimento-e-producao</x:t>
        </x:is>
      </x:c>
    </x:row>
    <x:row r="8">
      <x:c r="A8" t="inlineStr">
        <x:is>
          <x:t xml:space="preserve">PCP-II</x:t>
        </x:is>
      </x:c>
      <x:c r="B8" t="inlineStr">
        <x:is>
          <x:t xml:space="preserve">PLATAFORMA DE CARAPEBA 2</x:t>
        </x:is>
      </x:c>
      <x:c r="C8" t="inlineStr">
        <x:is>
          <x:t xml:space="preserve">CARAPEBA</x:t>
        </x:is>
      </x:c>
      <x:c r="D8" t="inlineStr">
        <x:is>
          <x:t xml:space="preserve">CAMPOS</x:t>
        </x:is>
      </x:c>
      <x:c r="E8" t="inlineStr">
        <x:is>
          <x:t xml:space="preserve">PERENCO PETRÓLEO E GÁS DO BRASIL LTDA.</x:t>
        </x:is>
      </x:c>
      <x:c r="F8" t="inlineStr">
        <x:is>
          <x:t xml:space="preserve">Plataforma Fixa - Jaqueta</x:t>
        </x:is>
      </x:c>
      <x:c r="G8" t="n">
        <x:v>87</x:v>
      </x:c>
      <x:c r="H8" t="inlineStr">
        <x:is>
          <x:t xml:space="preserve">Duto</x:t>
        </x:is>
      </x:c>
      <x:c r="I8" t="n">
        <x:v>1988</x:v>
      </x:c>
      <x:c r="J8">
        <x:f>I8+30</x:f>
        <x:v>2018</x:v>
      </x:c>
      <x:c r="K8" t="n">
        <x:v>-22.23357944</x:v>
      </x:c>
      <x:c r="L8" t="n">
        <x:v>-40.415245</x:v>
      </x:c>
      <x:c r="O8" s="7" t="inlineStr">
        <x:is>
          <x:t xml:space="preserve">https://www.gov.br/anp/pt-br/centrais-de-conteudo/dados-abertos/fase-de-desenvolvimento-e-producao</x:t>
        </x:is>
      </x:c>
    </x:row>
    <x:row r="9">
      <x:c r="A9" t="inlineStr">
        <x:is>
          <x:t xml:space="preserve">PVM-1</x:t>
        </x:is>
      </x:c>
      <x:c r="B9" t="inlineStr">
        <x:is>
          <x:t xml:space="preserve">PLATAFORMA DE VERMELHO 1</x:t>
        </x:is>
      </x:c>
      <x:c r="C9" t="inlineStr">
        <x:is>
          <x:t xml:space="preserve">VERMELHO</x:t>
        </x:is>
      </x:c>
      <x:c r="D9" t="inlineStr">
        <x:is>
          <x:t xml:space="preserve">CAMPOS</x:t>
        </x:is>
      </x:c>
      <x:c r="E9" t="inlineStr">
        <x:is>
          <x:t xml:space="preserve">PERENCO PETRÓLEO E GÁS DO BRASIL LTDA.</x:t>
        </x:is>
      </x:c>
      <x:c r="F9" t="inlineStr">
        <x:is>
          <x:t xml:space="preserve">Plataforma Fixa - Jaqueta</x:t>
        </x:is>
      </x:c>
      <x:c r="G9" t="n">
        <x:v>80</x:v>
      </x:c>
      <x:c r="H9" t="inlineStr">
        <x:is>
          <x:t xml:space="preserve">Duto</x:t>
        </x:is>
      </x:c>
      <x:c r="I9" t="n">
        <x:v>1989</x:v>
      </x:c>
      <x:c r="J9">
        <x:f>I9+30</x:f>
        <x:v>2019</x:v>
      </x:c>
      <x:c r="K9" t="n">
        <x:v>-22.16066028</x:v>
      </x:c>
      <x:c r="L9" t="n">
        <x:v>-40.2787175</x:v>
      </x:c>
      <x:c r="O9" s="7" t="inlineStr">
        <x:is>
          <x:t xml:space="preserve">https://www.gov.br/anp/pt-br/centrais-de-conteudo/dados-abertos/fase-de-desenvolvimento-e-producao</x:t>
        </x:is>
      </x:c>
    </x:row>
    <x:row r="10">
      <x:c r="A10" t="inlineStr">
        <x:is>
          <x:t xml:space="preserve">PVM-3</x:t>
        </x:is>
      </x:c>
      <x:c r="B10" t="inlineStr">
        <x:is>
          <x:t xml:space="preserve">PLATAFORMA DE VERMELHO 3</x:t>
        </x:is>
      </x:c>
      <x:c r="C10" t="inlineStr">
        <x:is>
          <x:t xml:space="preserve">VERMELHO</x:t>
        </x:is>
      </x:c>
      <x:c r="D10" t="inlineStr">
        <x:is>
          <x:t xml:space="preserve">CAMPOS</x:t>
        </x:is>
      </x:c>
      <x:c r="E10" t="inlineStr">
        <x:is>
          <x:t xml:space="preserve">PERENCO PETRÓLEO E GÁS DO BRASIL LTDA.</x:t>
        </x:is>
      </x:c>
      <x:c r="F10" t="inlineStr">
        <x:is>
          <x:t xml:space="preserve">Plataforma Fixa - Jaqueta</x:t>
        </x:is>
      </x:c>
      <x:c r="G10" t="n">
        <x:v>82</x:v>
      </x:c>
      <x:c r="H10" t="inlineStr">
        <x:is>
          <x:t xml:space="preserve">Duto</x:t>
        </x:is>
      </x:c>
      <x:c r="I10" t="n">
        <x:v>1989</x:v>
      </x:c>
      <x:c r="J10">
        <x:f>I10+30</x:f>
        <x:v>2019</x:v>
      </x:c>
      <x:c r="K10" t="n">
        <x:v>-22.189705</x:v>
      </x:c>
      <x:c r="L10" t="n">
        <x:v>-40.30321833</x:v>
      </x:c>
      <x:c r="O10" s="7" t="inlineStr">
        <x:is>
          <x:t xml:space="preserve">https://www.gov.br/anp/pt-br/centrais-de-conteudo/dados-abertos/fase-de-desenvolvimento-e-producao</x:t>
        </x:is>
      </x:c>
    </x:row>
    <x:row r="11">
      <x:c r="A11" t="inlineStr">
        <x:is>
          <x:t xml:space="preserve">P-08</x:t>
        </x:is>
      </x:c>
      <x:c r="B11" t="inlineStr">
        <x:is>
          <x:t xml:space="preserve">PLATAFORMA 08</x:t>
        </x:is>
      </x:c>
      <x:c r="C11" t="inlineStr">
        <x:is>
          <x:t xml:space="preserve">MARIMBÁ</x:t>
        </x:is>
      </x:c>
      <x:c r="D11" t="inlineStr">
        <x:is>
          <x:t xml:space="preserve">CAMPOS</x:t>
        </x:is>
      </x:c>
      <x:c r="E11" t="inlineStr">
        <x:is>
          <x:t xml:space="preserve">TRIDENT ENERGY DO BRASIL LTDA.</x:t>
        </x:is>
      </x:c>
      <x:c r="F11" t="inlineStr">
        <x:is>
          <x:t xml:space="preserve">Semissubmersível - SS</x:t>
        </x:is>
      </x:c>
      <x:c r="G11" t="n">
        <x:v>423</x:v>
      </x:c>
      <x:c r="H11" t="inlineStr">
        <x:is>
          <x:t xml:space="preserve">Duto</x:t>
        </x:is>
      </x:c>
      <x:c r="I11" t="n">
        <x:v>1993</x:v>
      </x:c>
      <x:c r="J11">
        <x:f>I11+30</x:f>
        <x:v>2023</x:v>
      </x:c>
      <x:c r="K11" t="n">
        <x:v>-22.67308694</x:v>
      </x:c>
      <x:c r="L11" t="n">
        <x:v>-40.54650556</x:v>
      </x:c>
      <x:c r="O11" s="7" t="inlineStr">
        <x:is>
          <x:t xml:space="preserve">https://www.gov.br/anp/pt-br/centrais-de-conteudo/dados-abertos/fase-de-desenvolvimento-e-producao</x:t>
        </x:is>
      </x:c>
    </x:row>
    <x:row r="12">
      <x:c r="A12" t="inlineStr">
        <x:is>
          <x:t xml:space="preserve">PCP-III</x:t>
        </x:is>
      </x:c>
      <x:c r="B12" t="inlineStr">
        <x:is>
          <x:t xml:space="preserve">PLATAFORMA DE CARAPEBA 3</x:t>
        </x:is>
      </x:c>
      <x:c r="C12" t="inlineStr">
        <x:is>
          <x:t xml:space="preserve">CARAPEBA</x:t>
        </x:is>
      </x:c>
      <x:c r="D12" t="inlineStr">
        <x:is>
          <x:t xml:space="preserve">CAMPOS</x:t>
        </x:is>
      </x:c>
      <x:c r="E12" t="inlineStr">
        <x:is>
          <x:t xml:space="preserve">PERENCO PETRÓLEO E GÁS DO BRASIL LTDA.</x:t>
        </x:is>
      </x:c>
      <x:c r="F12" t="inlineStr">
        <x:is>
          <x:t xml:space="preserve">Plataforma Fixa - Jaqueta</x:t>
        </x:is>
      </x:c>
      <x:c r="G12" t="n">
        <x:v>86</x:v>
      </x:c>
      <x:c r="H12" t="inlineStr">
        <x:is>
          <x:t xml:space="preserve">Duto</x:t>
        </x:is>
      </x:c>
      <x:c r="I12" t="n">
        <x:v>1994</x:v>
      </x:c>
      <x:c r="J12">
        <x:f>I12+30</x:f>
        <x:v>2024</x:v>
      </x:c>
      <x:c r="K12" t="n">
        <x:v>-22.24496611</x:v>
      </x:c>
      <x:c r="L12" t="n">
        <x:v>-40.44234222</x:v>
      </x:c>
      <x:c r="O12" s="7" t="inlineStr">
        <x:is>
          <x:t xml:space="preserve">https://www.gov.br/anp/pt-br/centrais-de-conteudo/dados-abertos/fase-de-desenvolvimento-e-producao</x:t>
        </x:is>
      </x:c>
    </x:row>
    <x:row r="13">
      <x:c r="A13" t="inlineStr">
        <x:is>
          <x:t xml:space="preserve">PPE1B</x:t>
        </x:is>
      </x:c>
      <x:c r="B13" t="inlineStr">
        <x:is>
          <x:t xml:space="preserve">PLATAFORMA DE PESCADA 1B</x:t>
        </x:is>
      </x:c>
      <x:c r="C13" t="inlineStr">
        <x:is>
          <x:t xml:space="preserve">PESCADA</x:t>
        </x:is>
      </x:c>
      <x:c r="D13" t="inlineStr">
        <x:is>
          <x:t xml:space="preserve">POTIGUAR</x:t>
        </x:is>
      </x:c>
      <x:c r="E13" t="inlineStr">
        <x:is>
          <x:t xml:space="preserve">PETRÓLEO BRASILEIRO S.A. - PETROBRAS</x:t>
        </x:is>
      </x:c>
      <x:c r="F13" t="inlineStr">
        <x:is>
          <x:t xml:space="preserve">Plataforma Fixa - Caisson</x:t>
        </x:is>
      </x:c>
      <x:c r="G13" t="n">
        <x:v>17</x:v>
      </x:c>
      <x:c r="H13" t="inlineStr">
        <x:is>
          <x:t xml:space="preserve">Duto</x:t>
        </x:is>
      </x:c>
      <x:c r="I13" t="n">
        <x:v>1998</x:v>
      </x:c>
      <x:c r="J13">
        <x:f>I13+30</x:f>
        <x:v>2028</x:v>
      </x:c>
      <x:c r="K13" t="n">
        <x:v>-4.70450833</x:v>
      </x:c>
      <x:c r="L13" t="n">
        <x:v>-36.825635</x:v>
      </x:c>
      <x:c r="O13" s="7" t="inlineStr">
        <x:is>
          <x:t xml:space="preserve">https://www.gov.br/anp/pt-br/centrais-de-conteudo/dados-abertos/fase-de-desenvolvimento-e-producao</x:t>
        </x:is>
      </x:c>
    </x:row>
    <x:row r="14">
      <x:c r="A14" t="inlineStr">
        <x:is>
          <x:t xml:space="preserve">PPE02</x:t>
        </x:is>
      </x:c>
      <x:c r="B14" t="inlineStr">
        <x:is>
          <x:t xml:space="preserve">PLATAFORMA DE PESCADA 2</x:t>
        </x:is>
      </x:c>
      <x:c r="C14" t="inlineStr">
        <x:is>
          <x:t xml:space="preserve">PESCADA</x:t>
        </x:is>
      </x:c>
      <x:c r="D14" t="inlineStr">
        <x:is>
          <x:t xml:space="preserve">POTIGUAR</x:t>
        </x:is>
      </x:c>
      <x:c r="E14" t="inlineStr">
        <x:is>
          <x:t xml:space="preserve">PETRÓLEO BRASILEIRO S.A. - PETROBRAS</x:t>
        </x:is>
      </x:c>
      <x:c r="F14" t="inlineStr">
        <x:is>
          <x:t xml:space="preserve">Plataforma Fixa - Caisson</x:t>
        </x:is>
      </x:c>
      <x:c r="G14" t="n">
        <x:v>17</x:v>
      </x:c>
      <x:c r="H14" t="inlineStr">
        <x:is>
          <x:t xml:space="preserve">Duto</x:t>
        </x:is>
      </x:c>
      <x:c r="I14" t="n">
        <x:v>1999</x:v>
      </x:c>
      <x:c r="J14">
        <x:f>I14+30</x:f>
        <x:v>2029</x:v>
      </x:c>
      <x:c r="K14" t="n">
        <x:v>-4.71841806</x:v>
      </x:c>
      <x:c r="L14" t="n">
        <x:v>-36.83579444</x:v>
      </x:c>
      <x:c r="O14" s="7" t="inlineStr">
        <x:is>
          <x:t xml:space="preserve">https://www.gov.br/anp/pt-br/centrais-de-conteudo/dados-abertos/fase-de-desenvolvimento-e-producao</x:t>
        </x:is>
      </x:c>
    </x:row>
    <x:row r="15">
      <x:c r="A15" t="inlineStr">
        <x:is>
          <x:t xml:space="preserve">PARB1</x:t>
        </x:is>
      </x:c>
      <x:c r="B15" t="inlineStr">
        <x:is>
          <x:t xml:space="preserve">PLATAFORMA DE ARABAIANA 1</x:t>
        </x:is>
      </x:c>
      <x:c r="C15" t="inlineStr">
        <x:is>
          <x:t xml:space="preserve">ARABAIANA</x:t>
        </x:is>
      </x:c>
      <x:c r="D15" t="inlineStr">
        <x:is>
          <x:t xml:space="preserve">POTIGUAR</x:t>
        </x:is>
      </x:c>
      <x:c r="E15" t="inlineStr">
        <x:is>
          <x:t xml:space="preserve">PETRÓLEO BRASILEIRO S.A. - PETROBRAS</x:t>
        </x:is>
      </x:c>
      <x:c r="F15" t="inlineStr">
        <x:is>
          <x:t xml:space="preserve">Plataforma Fixa - Caisson</x:t>
        </x:is>
      </x:c>
      <x:c r="G15" t="n">
        <x:v>30</x:v>
      </x:c>
      <x:c r="H15" t="inlineStr">
        <x:is>
          <x:t xml:space="preserve">Duto</x:t>
        </x:is>
      </x:c>
      <x:c r="I15" t="n">
        <x:v>2001</x:v>
      </x:c>
      <x:c r="J15">
        <x:f>I15+30</x:f>
        <x:v>2031</x:v>
      </x:c>
      <x:c r="K15" t="n">
        <x:v>-4.69477028</x:v>
      </x:c>
      <x:c r="L15" t="n">
        <x:v>-36.72455639</x:v>
      </x:c>
      <x:c r="O15" s="7" t="inlineStr">
        <x:is>
          <x:t xml:space="preserve">https://www.gov.br/anp/pt-br/centrais-de-conteudo/dados-abertos/fase-de-desenvolvimento-e-producao</x:t>
        </x:is>
      </x:c>
    </x:row>
    <x:row r="16">
      <x:c r="A16" t="inlineStr">
        <x:is>
          <x:t xml:space="preserve">P-40</x:t>
        </x:is>
      </x:c>
      <x:c r="B16" t="inlineStr">
        <x:is>
          <x:t xml:space="preserve">PETROBRAS 40</x:t>
        </x:is>
      </x:c>
      <x:c r="C16" t="inlineStr">
        <x:is>
          <x:t xml:space="preserve">MARLIM / MARLIM LESTE / MARLIM SUL</x:t>
        </x:is>
      </x:c>
      <x:c r="D16" t="inlineStr">
        <x:is>
          <x:t xml:space="preserve">CAMPOS</x:t>
        </x:is>
      </x:c>
      <x:c r="E16" t="inlineStr">
        <x:is>
          <x:t xml:space="preserve">PETRÓLEO BRASILEIRO S.A. - PETROBRAS</x:t>
        </x:is>
      </x:c>
      <x:c r="F16" t="inlineStr">
        <x:is>
          <x:t xml:space="preserve">Semissubmersível - SS</x:t>
        </x:is>
      </x:c>
      <x:c r="G16" t="n">
        <x:v>1080</x:v>
      </x:c>
      <x:c r="H16" t="inlineStr">
        <x:is>
          <x:t xml:space="preserve">Duto</x:t>
        </x:is>
      </x:c>
      <x:c r="I16" t="n">
        <x:v>2001</x:v>
      </x:c>
      <x:c r="J16">
        <x:f>I16+30</x:f>
        <x:v>2031</x:v>
      </x:c>
      <x:c r="K16" t="n">
        <x:v>-22.54742194</x:v>
      </x:c>
      <x:c r="L16" t="n">
        <x:v>-40.06744306</x:v>
      </x:c>
      <x:c r="M16" t="n">
        <x:v>202846</x:v>
      </x:c>
      <x:c r="N16" t="n">
        <x:v>6000</x:v>
      </x:c>
      <x:c r="O16" s="7" t="inlineStr">
        <x:is>
          <x:t xml:space="preserve">https://www.gov.br/anp/pt-br/centrais-de-conteudo/dados-abertos/fase-de-desenvolvimento-e-producao</x:t>
        </x:is>
      </x:c>
    </x:row>
    <x:row r="17">
      <x:c r="A17" t="inlineStr">
        <x:is>
          <x:t xml:space="preserve">P-43</x:t>
        </x:is>
      </x:c>
      <x:c r="B17" t="inlineStr">
        <x:is>
          <x:t xml:space="preserve">PETROBRAS 43</x:t>
        </x:is>
      </x:c>
      <x:c r="C17" t="inlineStr">
        <x:is>
          <x:t xml:space="preserve">BARRACUDA / CARATINGA</x:t>
        </x:is>
      </x:c>
      <x:c r="D17" t="inlineStr">
        <x:is>
          <x:t xml:space="preserve">CAMPOS</x:t>
        </x:is>
      </x:c>
      <x:c r="E17" t="inlineStr">
        <x:is>
          <x:t xml:space="preserve">PETRÓLEO BRASILEIRO S.A. - PETROBRAS</x:t>
        </x:is>
      </x:c>
      <x:c r="F17" t="inlineStr">
        <x:is>
          <x:t xml:space="preserve">Floating Production Storage Offloading - FPSO</x:t>
        </x:is>
      </x:c>
      <x:c r="G17" t="n">
        <x:v>800</x:v>
      </x:c>
      <x:c r="H17" t="inlineStr">
        <x:is>
          <x:t xml:space="preserve">Navio Aliviador</x:t>
        </x:is>
      </x:c>
      <x:c r="I17" t="n">
        <x:v>2004</x:v>
      </x:c>
      <x:c r="J17">
        <x:f>I17+30</x:f>
        <x:v>2034</x:v>
      </x:c>
      <x:c r="K17" t="n">
        <x:v>-22.55011</x:v>
      </x:c>
      <x:c r="L17" t="n">
        <x:v>-40.25944889</x:v>
      </x:c>
      <x:c r="M17" t="n">
        <x:v>174000</x:v>
      </x:c>
      <x:c r="N17" t="n">
        <x:v>6000</x:v>
      </x:c>
      <x:c r="O17" s="7" t="inlineStr">
        <x:is>
          <x:t xml:space="preserve">https://www.gov.br/anp/pt-br/centrais-de-conteudo/dados-abertos/fase-de-desenvolvimento-e-producao</x:t>
        </x:is>
      </x:c>
    </x:row>
    <x:row r="18">
      <x:c r="A18" t="inlineStr">
        <x:is>
          <x:t xml:space="preserve">P-48</x:t>
        </x:is>
      </x:c>
      <x:c r="B18" t="inlineStr">
        <x:is>
          <x:t xml:space="preserve">PETROBRAS 48</x:t>
        </x:is>
      </x:c>
      <x:c r="C18" t="inlineStr">
        <x:is>
          <x:t xml:space="preserve">BARRACUDA / CARATINGA</x:t>
        </x:is>
      </x:c>
      <x:c r="D18" t="inlineStr">
        <x:is>
          <x:t xml:space="preserve">CAMPOS</x:t>
        </x:is>
      </x:c>
      <x:c r="E18" t="inlineStr">
        <x:is>
          <x:t xml:space="preserve">PETRÓLEO BRASILEIRO S.A. - PETROBRAS</x:t>
        </x:is>
      </x:c>
      <x:c r="F18" t="inlineStr">
        <x:is>
          <x:t xml:space="preserve">Floating Production Storage Offloading - FPSO</x:t>
        </x:is>
      </x:c>
      <x:c r="G18" t="n">
        <x:v>1032</x:v>
      </x:c>
      <x:c r="H18" t="inlineStr">
        <x:is>
          <x:t xml:space="preserve">Navio Aliviador</x:t>
        </x:is>
      </x:c>
      <x:c r="I18" t="n">
        <x:v>2005</x:v>
      </x:c>
      <x:c r="J18">
        <x:f>I18+30</x:f>
        <x:v>2035</x:v>
      </x:c>
      <x:c r="K18" t="n">
        <x:v>-22.66388389</x:v>
      </x:c>
      <x:c r="L18" t="n">
        <x:v>-40.24018889</x:v>
      </x:c>
      <x:c r="M18" t="n">
        <x:v>150000</x:v>
      </x:c>
      <x:c r="N18" t="n">
        <x:v>6000</x:v>
      </x:c>
      <x:c r="O18" s="7" t="inlineStr">
        <x:is>
          <x:t xml:space="preserve">https://www.gov.br/anp/pt-br/centrais-de-conteudo/dados-abertos/fase-de-desenvolvimento-e-producao</x:t>
        </x:is>
      </x:c>
    </x:row>
    <x:row r="19">
      <x:c r="A19" t="inlineStr">
        <x:is>
          <x:t xml:space="preserve">FORTE</x:t>
        </x:is>
      </x:c>
      <x:c r="B19" t="inlineStr">
        <x:is>
          <x:t xml:space="preserve">FPSO FORTE</x:t>
        </x:is>
      </x:c>
      <x:c r="C19" t="inlineStr">
        <x:is>
          <x:t xml:space="preserve">ALBACORA / ALBACORA LESTE</x:t>
        </x:is>
      </x:c>
      <x:c r="D19" t="inlineStr">
        <x:is>
          <x:t xml:space="preserve">CAMPOS</x:t>
        </x:is>
      </x:c>
      <x:c r="E19" t="inlineStr">
        <x:is>
          <x:t xml:space="preserve">PRIO FORTE S.A.</x:t>
        </x:is>
      </x:c>
      <x:c r="F19" t="inlineStr">
        <x:is>
          <x:t xml:space="preserve">Floating Production Storage Offloading - FPSO</x:t>
        </x:is>
      </x:c>
      <x:c r="G19" t="n">
        <x:v>1230</x:v>
      </x:c>
      <x:c r="H19" t="inlineStr">
        <x:is>
          <x:t xml:space="preserve">Navio Aliviador</x:t>
        </x:is>
      </x:c>
      <x:c r="I19" t="n">
        <x:v>2006</x:v>
      </x:c>
      <x:c r="J19">
        <x:f>I19+30</x:f>
        <x:v>2036</x:v>
      </x:c>
      <x:c r="K19" t="n">
        <x:v>-22.08638778</x:v>
      </x:c>
      <x:c r="L19" t="n">
        <x:v>-39.82799861</x:v>
      </x:c>
      <x:c r="M19" t="n">
        <x:v>180000</x:v>
      </x:c>
      <x:c r="N19" t="n">
        <x:v>6000</x:v>
      </x:c>
      <x:c r="O19" s="7" t="inlineStr">
        <x:is>
          <x:t xml:space="preserve">https://www.gov.br/anp/pt-br/centrais-de-conteudo/dados-abertos/fase-de-desenvolvimento-e-producao</x:t>
        </x:is>
      </x:c>
    </x:row>
    <x:row r="20">
      <x:c r="A20" t="inlineStr">
        <x:is>
          <x:t xml:space="preserve">3R-1</x:t>
        </x:is>
      </x:c>
      <x:c r="B20" t="inlineStr">
        <x:is>
          <x:t xml:space="preserve">PLATAFORMA 3R-1</x:t>
        </x:is>
      </x:c>
      <x:c r="C20" t="inlineStr">
        <x:is>
          <x:t xml:space="preserve">PEROÁ</x:t>
        </x:is>
      </x:c>
      <x:c r="D20" t="inlineStr">
        <x:is>
          <x:t xml:space="preserve">ESPÍRITO SANTO</x:t>
        </x:is>
      </x:c>
      <x:c r="E20" t="inlineStr">
        <x:is>
          <x:t xml:space="preserve">3R PETROLEUM OFFSHORE S.A.</x:t>
        </x:is>
      </x:c>
      <x:c r="F20" t="inlineStr">
        <x:is>
          <x:t xml:space="preserve">Plataforma Fixa - Jaqueta</x:t>
        </x:is>
      </x:c>
      <x:c r="G20" t="n">
        <x:v>67</x:v>
      </x:c>
      <x:c r="H20" t="inlineStr">
        <x:is>
          <x:t xml:space="preserve">Duto</x:t>
        </x:is>
      </x:c>
      <x:c r="I20" t="n">
        <x:v>2006</x:v>
      </x:c>
      <x:c r="J20">
        <x:f>I20+30</x:f>
        <x:v>2036</x:v>
      </x:c>
      <x:c r="K20" t="n">
        <x:v>-19.56278333</x:v>
      </x:c>
      <x:c r="L20" t="n">
        <x:v>-39.25528333</x:v>
      </x:c>
      <x:c r="O20" s="7" t="inlineStr">
        <x:is>
          <x:t xml:space="preserve">https://www.gov.br/anp/pt-br/centrais-de-conteudo/dados-abertos/fase-de-desenvolvimento-e-producao</x:t>
        </x:is>
      </x:c>
    </x:row>
    <x:row r="21">
      <x:c r="A21" t="inlineStr">
        <x:is>
          <x:t xml:space="preserve">PMNT</x:t>
        </x:is>
      </x:c>
      <x:c r="B21" t="inlineStr">
        <x:is>
          <x:t xml:space="preserve">PLATAFORMA DE MANATI</x:t>
        </x:is>
      </x:c>
      <x:c r="C21" t="inlineStr">
        <x:is>
          <x:t xml:space="preserve">MANATI</x:t>
        </x:is>
      </x:c>
      <x:c r="D21" t="inlineStr">
        <x:is>
          <x:t xml:space="preserve">CAMAMU</x:t>
        </x:is>
      </x:c>
      <x:c r="E21" t="inlineStr">
        <x:is>
          <x:t xml:space="preserve">PETRÓLEO BRASILEIRO S.A. - PETROBRAS</x:t>
        </x:is>
      </x:c>
      <x:c r="F21" t="inlineStr">
        <x:is>
          <x:t xml:space="preserve">Plataforma Fixa - Jaqueta</x:t>
        </x:is>
      </x:c>
      <x:c r="G21" t="n">
        <x:v>37</x:v>
      </x:c>
      <x:c r="H21" t="inlineStr">
        <x:is>
          <x:t xml:space="preserve">Duto</x:t>
        </x:is>
      </x:c>
      <x:c r="I21" t="n">
        <x:v>2007</x:v>
      </x:c>
      <x:c r="J21">
        <x:f>I21+30</x:f>
        <x:v>2037</x:v>
      </x:c>
      <x:c r="K21" t="n">
        <x:v>-13.48997389</x:v>
      </x:c>
      <x:c r="L21" t="n">
        <x:v>-38.81231333</x:v>
      </x:c>
      <x:c r="N21" t="n">
        <x:v>6</x:v>
      </x:c>
      <x:c r="O21" s="7" t="inlineStr">
        <x:is>
          <x:t xml:space="preserve">https://www.gov.br/anp/pt-br/centrais-de-conteudo/dados-abertos/fase-de-desenvolvimento-e-producao</x:t>
        </x:is>
      </x:c>
    </x:row>
    <x:row r="22">
      <x:c r="A22" t="inlineStr">
        <x:is>
          <x:t xml:space="preserve">POLVO A</x:t>
        </x:is>
      </x:c>
      <x:c r="B22" t="inlineStr">
        <x:is>
          <x:t xml:space="preserve">POLVO A</x:t>
        </x:is>
      </x:c>
      <x:c r="C22" t="inlineStr">
        <x:is>
          <x:t xml:space="preserve">POLVO</x:t>
        </x:is>
      </x:c>
      <x:c r="D22" t="inlineStr">
        <x:is>
          <x:t xml:space="preserve">CAMPOS</x:t>
        </x:is>
      </x:c>
      <x:c r="E22" t="inlineStr">
        <x:is>
          <x:t xml:space="preserve">PRIO BRAVO LTDA.</x:t>
        </x:is>
      </x:c>
      <x:c r="F22" t="inlineStr">
        <x:is>
          <x:t xml:space="preserve">Plataforma Fixa - Jaqueta</x:t>
        </x:is>
      </x:c>
      <x:c r="G22" t="n">
        <x:v>105</x:v>
      </x:c>
      <x:c r="H22" t="inlineStr">
        <x:is>
          <x:t xml:space="preserve">Duto</x:t>
        </x:is>
      </x:c>
      <x:c r="I22" t="n">
        <x:v>2007</x:v>
      </x:c>
      <x:c r="J22">
        <x:f>I22+30</x:f>
        <x:v>2037</x:v>
      </x:c>
      <x:c r="K22" t="n">
        <x:v>-23.08381389</x:v>
      </x:c>
      <x:c r="L22" t="n">
        <x:v>-40.99542917</x:v>
      </x:c>
      <x:c r="O22" s="7" t="inlineStr">
        <x:is>
          <x:t xml:space="preserve">https://www.gov.br/anp/pt-br/centrais-de-conteudo/dados-abertos/fase-de-desenvolvimento-e-producao</x:t>
        </x:is>
      </x:c>
    </x:row>
    <x:row r="23">
      <x:c r="A23" t="inlineStr">
        <x:is>
          <x:t xml:space="preserve">CVIX</x:t>
        </x:is>
      </x:c>
      <x:c r="B23" t="inlineStr">
        <x:is>
          <x:t xml:space="preserve">FPSO CIDADE DE VITÓRIA</x:t>
        </x:is>
      </x:c>
      <x:c r="C23" t="inlineStr">
        <x:is>
          <x:t xml:space="preserve">GOLFINHO</x:t>
        </x:is>
      </x:c>
      <x:c r="D23" t="inlineStr">
        <x:is>
          <x:t xml:space="preserve">ESPÍRITO SANTO</x:t>
        </x:is>
      </x:c>
      <x:c r="E23" t="inlineStr">
        <x:is>
          <x:t xml:space="preserve">BW ENERGY MAROMBA DO BRASIL LTDA</x:t>
        </x:is>
      </x:c>
      <x:c r="F23" t="inlineStr">
        <x:is>
          <x:t xml:space="preserve">Floating Production Storage Offloading - FPSO</x:t>
        </x:is>
      </x:c>
      <x:c r="G23" t="n">
        <x:v>1386</x:v>
      </x:c>
      <x:c r="H23" t="inlineStr">
        <x:is>
          <x:t xml:space="preserve">Navio Aliviador</x:t>
        </x:is>
      </x:c>
      <x:c r="I23" t="n">
        <x:v>2007</x:v>
      </x:c>
      <x:c r="J23">
        <x:f>I23+30</x:f>
        <x:v>2037</x:v>
      </x:c>
      <x:c r="K23" t="n">
        <x:v>-20.04277778</x:v>
      </x:c>
      <x:c r="L23" t="n">
        <x:v>-39.52555556</x:v>
      </x:c>
      <x:c r="M23" t="n">
        <x:v>100637</x:v>
      </x:c>
      <x:c r="N23" t="n">
        <x:v>3500</x:v>
      </x:c>
      <x:c r="O23" s="7" t="inlineStr">
        <x:is>
          <x:t xml:space="preserve">https://www.gov.br/anp/pt-br/centrais-de-conteudo/dados-abertos/fase-de-desenvolvimento-e-producao</x:t>
        </x:is>
      </x:c>
    </x:row>
    <x:row r="24">
      <x:c r="A24" t="inlineStr">
        <x:is>
          <x:t xml:space="preserve">P-54</x:t>
        </x:is>
      </x:c>
      <x:c r="B24" t="inlineStr">
        <x:is>
          <x:t xml:space="preserve">PETROBRAS 54</x:t>
        </x:is>
      </x:c>
      <x:c r="C24" t="inlineStr">
        <x:is>
          <x:t xml:space="preserve">RONCADOR</x:t>
        </x:is>
      </x:c>
      <x:c r="D24" t="inlineStr">
        <x:is>
          <x:t xml:space="preserve">CAMPOS</x:t>
        </x:is>
      </x:c>
      <x:c r="E24" t="inlineStr">
        <x:is>
          <x:t xml:space="preserve">PETRÓLEO BRASILEIRO S.A. - PETROBRAS</x:t>
        </x:is>
      </x:c>
      <x:c r="F24" t="inlineStr">
        <x:is>
          <x:t xml:space="preserve">Floating Production Storage Offloading - FPSO</x:t>
        </x:is>
      </x:c>
      <x:c r="G24" t="n">
        <x:v>1400</x:v>
      </x:c>
      <x:c r="H24" t="inlineStr">
        <x:is>
          <x:t xml:space="preserve">Navio Aliviador</x:t>
        </x:is>
      </x:c>
      <x:c r="I24" t="n">
        <x:v>2007</x:v>
      </x:c>
      <x:c r="J24">
        <x:f>I24+30</x:f>
        <x:v>2037</x:v>
      </x:c>
      <x:c r="K24" t="n">
        <x:v>-21.96911389</x:v>
      </x:c>
      <x:c r="L24" t="n">
        <x:v>-39.82530278</x:v>
      </x:c>
      <x:c r="M24" t="n">
        <x:v>190000</x:v>
      </x:c>
      <x:c r="N24" t="n">
        <x:v>4000</x:v>
      </x:c>
      <x:c r="O24" s="7" t="inlineStr">
        <x:is>
          <x:t xml:space="preserve">https://www.gov.br/anp/pt-br/centrais-de-conteudo/dados-abertos/fase-de-desenvolvimento-e-producao</x:t>
        </x:is>
      </x:c>
    </x:row>
    <x:row r="25">
      <x:c r="A25" t="inlineStr">
        <x:is>
          <x:t xml:space="preserve">P-53</x:t>
        </x:is>
      </x:c>
      <x:c r="B25" t="inlineStr">
        <x:is>
          <x:t xml:space="preserve">PETROBRAS 53</x:t>
        </x:is>
      </x:c>
      <x:c r="C25" t="inlineStr">
        <x:is>
          <x:t xml:space="preserve">MARLIM LESTE</x:t>
        </x:is>
      </x:c>
      <x:c r="D25" t="inlineStr">
        <x:is>
          <x:t xml:space="preserve">CAMPOS</x:t>
        </x:is>
      </x:c>
      <x:c r="E25" t="inlineStr">
        <x:is>
          <x:t xml:space="preserve">PETRÓLEO BRASILEIRO S.A. - PETROBRAS</x:t>
        </x:is>
      </x:c>
      <x:c r="F25" t="inlineStr">
        <x:is>
          <x:t xml:space="preserve">Floating Production Storage Offloading - FPSO</x:t>
        </x:is>
      </x:c>
      <x:c r="G25" t="n">
        <x:v>1068</x:v>
      </x:c>
      <x:c r="H25" t="inlineStr">
        <x:is>
          <x:t xml:space="preserve">Duto</x:t>
        </x:is>
      </x:c>
      <x:c r="I25" t="n">
        <x:v>2008</x:v>
      </x:c>
      <x:c r="J25">
        <x:f>I25+30</x:f>
        <x:v>2038</x:v>
      </x:c>
      <x:c r="K25" t="n">
        <x:v>-22.42401667</x:v>
      </x:c>
      <x:c r="L25" t="n">
        <x:v>-39.95766667</x:v>
      </x:c>
      <x:c r="M25" t="n">
        <x:v>180000</x:v>
      </x:c>
      <x:c r="N25" t="n">
        <x:v>6000</x:v>
      </x:c>
      <x:c r="O25" s="7" t="inlineStr">
        <x:is>
          <x:t xml:space="preserve">https://www.gov.br/anp/pt-br/centrais-de-conteudo/dados-abertos/fase-de-desenvolvimento-e-producao</x:t>
        </x:is>
      </x:c>
    </x:row>
    <x:row r="26">
      <x:c r="A26" t="inlineStr">
        <x:is>
          <x:t xml:space="preserve">FRADE</x:t>
        </x:is>
      </x:c>
      <x:c r="B26" t="inlineStr">
        <x:is>
          <x:t xml:space="preserve">FPSO FRADE</x:t>
        </x:is>
      </x:c>
      <x:c r="C26" t="inlineStr">
        <x:is>
          <x:t xml:space="preserve">FRADE</x:t>
        </x:is>
      </x:c>
      <x:c r="D26" t="inlineStr">
        <x:is>
          <x:t xml:space="preserve">CAMPOS</x:t>
        </x:is>
      </x:c>
      <x:c r="E26" t="inlineStr">
        <x:is>
          <x:t xml:space="preserve">PRIO FORTE S.A.</x:t>
        </x:is>
      </x:c>
      <x:c r="F26" t="inlineStr">
        <x:is>
          <x:t xml:space="preserve">Floating Production Storage Offloading - FPSO</x:t>
        </x:is>
      </x:c>
      <x:c r="G26" t="n">
        <x:v>0</x:v>
      </x:c>
      <x:c r="H26" t="inlineStr">
        <x:is>
          <x:t xml:space="preserve">Navio Aliviador</x:t>
        </x:is>
      </x:c>
      <x:c r="I26" t="n">
        <x:v>2009</x:v>
      </x:c>
      <x:c r="J26">
        <x:f>I26+30</x:f>
        <x:v>2039</x:v>
      </x:c>
      <x:c r="K26" t="n">
        <x:v>-21.88333333</x:v>
      </x:c>
      <x:c r="L26" t="n">
        <x:v>-39.85138889</x:v>
      </x:c>
      <x:c r="M26" t="n">
        <x:v>100000</x:v>
      </x:c>
      <x:c r="N26" t="n">
        <x:v>3</x:v>
      </x:c>
      <x:c r="O26" s="7" t="inlineStr">
        <x:is>
          <x:t xml:space="preserve">https://www.gov.br/anp/pt-br/centrais-de-conteudo/dados-abertos/fase-de-desenvolvimento-e-producao</x:t>
        </x:is>
      </x:c>
    </x:row>
    <x:row r="27">
      <x:c r="A27" t="inlineStr">
        <x:is>
          <x:t xml:space="preserve">FPSO ESP SANTO</x:t>
        </x:is>
      </x:c>
      <x:c r="B27" t="inlineStr">
        <x:is>
          <x:t xml:space="preserve">FPSO ESPIRITO SANTO</x:t>
        </x:is>
      </x:c>
      <x:c r="C27" t="inlineStr">
        <x:is>
          <x:t xml:space="preserve">ABALONE / AnC_ARGONAUTA_ME1 / ARGONAUTA / OSTRA</x:t>
        </x:is>
      </x:c>
      <x:c r="D27" t="inlineStr">
        <x:is>
          <x:t xml:space="preserve">CAMPOS</x:t>
        </x:is>
      </x:c>
      <x:c r="E27" t="inlineStr">
        <x:is>
          <x:t xml:space="preserve">SHELL BRASIL PETRÓLEO LTDA.</x:t>
        </x:is>
      </x:c>
      <x:c r="F27" t="inlineStr">
        <x:is>
          <x:t xml:space="preserve">Floating Production Storage Offloading - FPSO</x:t>
        </x:is>
      </x:c>
      <x:c r="G27" t="n">
        <x:v>1780</x:v>
      </x:c>
      <x:c r="H27" t="inlineStr">
        <x:is>
          <x:t xml:space="preserve">Navio Aliviador</x:t>
        </x:is>
      </x:c>
      <x:c r="I27" t="n">
        <x:v>2009</x:v>
      </x:c>
      <x:c r="J27">
        <x:f>I27+30</x:f>
        <x:v>2039</x:v>
      </x:c>
      <x:c r="K27" t="n">
        <x:v>-21.20857056</x:v>
      </x:c>
      <x:c r="L27" t="n">
        <x:v>-39.74271472</x:v>
      </x:c>
      <x:c r="M27" t="n">
        <x:v>100000</x:v>
      </x:c>
      <x:c r="N27" t="n">
        <x:v>177</x:v>
      </x:c>
      <x:c r="O27" s="7" t="inlineStr">
        <x:is>
          <x:t xml:space="preserve">https://www.gov.br/anp/pt-br/centrais-de-conteudo/dados-abertos/fase-de-desenvolvimento-e-producao</x:t>
        </x:is>
      </x:c>
    </x:row>
    <x:row r="28">
      <x:c r="A28" t="inlineStr">
        <x:is>
          <x:t xml:space="preserve">P-51</x:t>
        </x:is>
      </x:c>
      <x:c r="B28" t="inlineStr">
        <x:is>
          <x:t xml:space="preserve">PETROBRAS 51</x:t>
        </x:is>
      </x:c>
      <x:c r="C28" t="inlineStr">
        <x:is>
          <x:t xml:space="preserve">MARLIM SUL</x:t>
        </x:is>
      </x:c>
      <x:c r="D28" t="inlineStr">
        <x:is>
          <x:t xml:space="preserve">CAMPOS</x:t>
        </x:is>
      </x:c>
      <x:c r="E28" t="inlineStr">
        <x:is>
          <x:t xml:space="preserve">PETRÓLEO BRASILEIRO S.A. - PETROBRAS</x:t>
        </x:is>
      </x:c>
      <x:c r="F28" t="inlineStr">
        <x:is>
          <x:t xml:space="preserve">Semissubmersível - SS</x:t>
        </x:is>
      </x:c>
      <x:c r="G28" t="n">
        <x:v>1260</x:v>
      </x:c>
      <x:c r="H28" t="inlineStr">
        <x:is>
          <x:t xml:space="preserve">Duto</x:t>
        </x:is>
      </x:c>
      <x:c r="I28" t="n">
        <x:v>2009</x:v>
      </x:c>
      <x:c r="J28">
        <x:f>I28+30</x:f>
        <x:v>2039</x:v>
      </x:c>
      <x:c r="K28" t="n">
        <x:v>-22.63440278</x:v>
      </x:c>
      <x:c r="L28" t="n">
        <x:v>-40.09363722</x:v>
      </x:c>
      <x:c r="M28" t="n">
        <x:v>180000</x:v>
      </x:c>
      <x:c r="N28" t="n">
        <x:v>6000</x:v>
      </x:c>
      <x:c r="O28" s="7" t="inlineStr">
        <x:is>
          <x:t xml:space="preserve">https://www.gov.br/anp/pt-br/centrais-de-conteudo/dados-abertos/fase-de-desenvolvimento-e-producao</x:t>
        </x:is>
      </x:c>
    </x:row>
    <x:row r="29">
      <x:c r="A29" t="inlineStr">
        <x:is>
          <x:t xml:space="preserve">FPCAR</x:t>
        </x:is>
      </x:c>
      <x:c r="B29" t="inlineStr">
        <x:is>
          <x:t xml:space="preserve">FPSO CIDADE DE ANGRA DOS REIS</x:t>
        </x:is>
      </x:c>
      <x:c r="C29" t="inlineStr">
        <x:is>
          <x:t xml:space="preserve">AnC_TUPI / SUL DE TUPI / TUPI</x:t>
        </x:is>
      </x:c>
      <x:c r="D29" t="inlineStr">
        <x:is>
          <x:t xml:space="preserve">SANTOS</x:t>
        </x:is>
      </x:c>
      <x:c r="E29" t="inlineStr">
        <x:is>
          <x:t xml:space="preserve">PETRÓLEO BRASILEIRO S.A. - PETROBRAS</x:t>
        </x:is>
      </x:c>
      <x:c r="F29" t="inlineStr">
        <x:is>
          <x:t xml:space="preserve">Floating Production Storage Offloading - FPSO</x:t>
        </x:is>
      </x:c>
      <x:c r="G29" t="n">
        <x:v>2140</x:v>
      </x:c>
      <x:c r="H29" t="inlineStr">
        <x:is>
          <x:t xml:space="preserve">Navio Aliviador</x:t>
        </x:is>
      </x:c>
      <x:c r="I29" t="n">
        <x:v>2010</x:v>
      </x:c>
      <x:c r="J29">
        <x:f>I29+30</x:f>
        <x:v>2040</x:v>
      </x:c>
      <x:c r="K29" t="n">
        <x:v>-25.54481667</x:v>
      </x:c>
      <x:c r="L29" t="n">
        <x:v>-42.84021389</x:v>
      </x:c>
      <x:c r="M29" t="n">
        <x:v>100637</x:v>
      </x:c>
      <x:c r="N29" t="n">
        <x:v>5000</x:v>
      </x:c>
      <x:c r="O29" s="7" t="inlineStr">
        <x:is>
          <x:t xml:space="preserve">https://www.gov.br/anp/pt-br/centrais-de-conteudo/dados-abertos/fase-de-desenvolvimento-e-producao</x:t>
        </x:is>
      </x:c>
    </x:row>
    <x:row r="30">
      <x:c r="A30" t="inlineStr">
        <x:is>
          <x:t xml:space="preserve">P-57</x:t>
        </x:is>
      </x:c>
      <x:c r="B30" t="inlineStr">
        <x:is>
          <x:t xml:space="preserve">PETROBRAS 57</x:t>
        </x:is>
      </x:c>
      <x:c r="C30" t="inlineStr">
        <x:is>
          <x:t xml:space="preserve">JUBARTE</x:t>
        </x:is>
      </x:c>
      <x:c r="D30" t="inlineStr">
        <x:is>
          <x:t xml:space="preserve">CAMPOS</x:t>
        </x:is>
      </x:c>
      <x:c r="E30" t="inlineStr">
        <x:is>
          <x:t xml:space="preserve">PETRÓLEO BRASILEIRO S.A. - PETROBRAS</x:t>
        </x:is>
      </x:c>
      <x:c r="F30" t="inlineStr">
        <x:is>
          <x:t xml:space="preserve">Floating Production Storage Offloading - FPSO</x:t>
        </x:is>
      </x:c>
      <x:c r="G30" t="n">
        <x:v>1258</x:v>
      </x:c>
      <x:c r="H30" t="inlineStr">
        <x:is>
          <x:t xml:space="preserve">Navio Aliviador</x:t>
        </x:is>
      </x:c>
      <x:c r="I30" t="n">
        <x:v>2010</x:v>
      </x:c>
      <x:c r="J30">
        <x:f>I30+30</x:f>
        <x:v>2040</x:v>
      </x:c>
      <x:c r="K30" t="n">
        <x:v>-21.24001111</x:v>
      </x:c>
      <x:c r="L30" t="n">
        <x:v>-40.04807778</x:v>
      </x:c>
      <x:c r="M30" t="n">
        <x:v>180000</x:v>
      </x:c>
      <x:c r="N30" t="n">
        <x:v>2000</x:v>
      </x:c>
      <x:c r="O30" s="7" t="inlineStr">
        <x:is>
          <x:t xml:space="preserve">https://www.gov.br/anp/pt-br/centrais-de-conteudo/dados-abertos/fase-de-desenvolvimento-e-producao</x:t>
        </x:is>
      </x:c>
    </x:row>
    <x:row r="31">
      <x:c r="A31" t="inlineStr">
        <x:is>
          <x:t xml:space="preserve">PEREGRINO 1</x:t>
        </x:is>
      </x:c>
      <x:c r="B31" t="inlineStr">
        <x:is>
          <x:t xml:space="preserve">FPSO PEREGRINO</x:t>
        </x:is>
      </x:c>
      <x:c r="C31" t="inlineStr">
        <x:is>
          <x:t xml:space="preserve">PEREGRINO</x:t>
        </x:is>
      </x:c>
      <x:c r="D31" t="inlineStr">
        <x:is>
          <x:t xml:space="preserve">CAMPOS</x:t>
        </x:is>
      </x:c>
      <x:c r="E31" t="inlineStr">
        <x:is>
          <x:t xml:space="preserve">PRIO TIGRIS S.A</x:t>
        </x:is>
      </x:c>
      <x:c r="F31" t="inlineStr">
        <x:is>
          <x:t xml:space="preserve">Floating Production Storage Offloading - FPSO</x:t>
        </x:is>
      </x:c>
      <x:c r="G31" t="n">
        <x:v>98</x:v>
      </x:c>
      <x:c r="H31" t="inlineStr">
        <x:is>
          <x:t xml:space="preserve">Navio Aliviador</x:t>
        </x:is>
      </x:c>
      <x:c r="I31" t="n">
        <x:v>2011</x:v>
      </x:c>
      <x:c r="J31">
        <x:f>I31+30</x:f>
        <x:v>2041</x:v>
      </x:c>
      <x:c r="K31" t="n">
        <x:v>-23.31725556</x:v>
      </x:c>
      <x:c r="L31" t="n">
        <x:v>-41.25740278</x:v>
      </x:c>
      <x:c r="M31" t="n">
        <x:v>18239</x:v>
      </x:c>
      <x:c r="N31" t="n">
        <x:v>364</x:v>
      </x:c>
      <x:c r="O31" s="7" t="inlineStr">
        <x:is>
          <x:t xml:space="preserve">https://www.gov.br/anp/pt-br/centrais-de-conteudo/dados-abertos/fase-de-desenvolvimento-e-producao</x:t>
        </x:is>
      </x:c>
    </x:row>
    <x:row r="32">
      <x:c r="A32" t="inlineStr">
        <x:is>
          <x:t xml:space="preserve">PMXL-1</x:t>
        </x:is>
      </x:c>
      <x:c r="B32" t="inlineStr">
        <x:is>
          <x:t xml:space="preserve">PLATAFORMA DE MEXILHÃO</x:t>
        </x:is>
      </x:c>
      <x:c r="C32" t="inlineStr">
        <x:is>
          <x:t xml:space="preserve">MEXILHÃO</x:t>
        </x:is>
      </x:c>
      <x:c r="D32" t="inlineStr">
        <x:is>
          <x:t xml:space="preserve">SANTOS</x:t>
        </x:is>
      </x:c>
      <x:c r="E32" t="inlineStr">
        <x:is>
          <x:t xml:space="preserve">PETRÓLEO BRASILEIRO S.A. - PETROBRAS</x:t>
        </x:is>
      </x:c>
      <x:c r="F32" t="inlineStr">
        <x:is>
          <x:t xml:space="preserve">Plataforma Fixa - Jaqueta</x:t>
        </x:is>
      </x:c>
      <x:c r="G32" t="n">
        <x:v>172</x:v>
      </x:c>
      <x:c r="H32" t="inlineStr">
        <x:is>
          <x:t xml:space="preserve">Duto</x:t>
        </x:is>
      </x:c>
      <x:c r="I32" t="n">
        <x:v>2011</x:v>
      </x:c>
      <x:c r="J32">
        <x:f>I32+30</x:f>
        <x:v>2041</x:v>
      </x:c>
      <x:c r="K32" t="n">
        <x:v>-24.35316389</x:v>
      </x:c>
      <x:c r="L32" t="n">
        <x:v>-44.38281361</x:v>
      </x:c>
      <x:c r="M32" t="n">
        <x:v>19554</x:v>
      </x:c>
      <x:c r="N32" t="n">
        <x:v>150000</x:v>
      </x:c>
      <x:c r="O32" s="7" t="inlineStr">
        <x:is>
          <x:t xml:space="preserve">https://www.gov.br/anp/pt-br/centrais-de-conteudo/dados-abertos/fase-de-desenvolvimento-e-producao</x:t>
        </x:is>
      </x:c>
    </x:row>
    <x:row r="33">
      <x:c r="A33" t="inlineStr">
        <x:is>
          <x:t xml:space="preserve">PEREGRINO A</x:t>
        </x:is>
      </x:c>
      <x:c r="B33" t="inlineStr">
        <x:is>
          <x:t xml:space="preserve">PEREGRINO A</x:t>
        </x:is>
      </x:c>
      <x:c r="C33" t="inlineStr">
        <x:is>
          <x:t xml:space="preserve">PEREGRINO</x:t>
        </x:is>
      </x:c>
      <x:c r="D33" t="inlineStr">
        <x:is>
          <x:t xml:space="preserve">CAMPOS</x:t>
        </x:is>
      </x:c>
      <x:c r="E33" t="inlineStr">
        <x:is>
          <x:t xml:space="preserve">PRIO TIGRIS S.A</x:t>
        </x:is>
      </x:c>
      <x:c r="F33" t="inlineStr">
        <x:is>
          <x:t xml:space="preserve">Plataforma Fixa - Jaqueta</x:t>
        </x:is>
      </x:c>
      <x:c r="G33" t="n">
        <x:v>105</x:v>
      </x:c>
      <x:c r="H33" t="inlineStr">
        <x:is>
          <x:t xml:space="preserve">Duto</x:t>
        </x:is>
      </x:c>
      <x:c r="I33" t="n">
        <x:v>2011</x:v>
      </x:c>
      <x:c r="J33">
        <x:f>I33+30</x:f>
        <x:v>2041</x:v>
      </x:c>
      <x:c r="K33" t="n">
        <x:v>-23.33383889</x:v>
      </x:c>
      <x:c r="L33" t="n">
        <x:v>-41.29797222</x:v>
      </x:c>
      <x:c r="O33" s="7" t="inlineStr">
        <x:is>
          <x:t xml:space="preserve">https://www.gov.br/anp/pt-br/centrais-de-conteudo/dados-abertos/fase-de-desenvolvimento-e-producao</x:t>
        </x:is>
      </x:c>
    </x:row>
    <x:row r="34">
      <x:c r="A34" t="inlineStr">
        <x:is>
          <x:t xml:space="preserve">PEREGRINO B</x:t>
        </x:is>
      </x:c>
      <x:c r="B34" t="inlineStr">
        <x:is>
          <x:t xml:space="preserve">PEREGRINO B</x:t>
        </x:is>
      </x:c>
      <x:c r="C34" t="inlineStr">
        <x:is>
          <x:t xml:space="preserve">PEREGRINO</x:t>
        </x:is>
      </x:c>
      <x:c r="D34" t="inlineStr">
        <x:is>
          <x:t xml:space="preserve">CAMPOS</x:t>
        </x:is>
      </x:c>
      <x:c r="E34" t="inlineStr">
        <x:is>
          <x:t xml:space="preserve">PRIO TIGRIS S.A</x:t>
        </x:is>
      </x:c>
      <x:c r="F34" t="inlineStr">
        <x:is>
          <x:t xml:space="preserve">Plataforma Fixa - Jaqueta</x:t>
        </x:is>
      </x:c>
      <x:c r="G34" t="n">
        <x:v>121</x:v>
      </x:c>
      <x:c r="H34" t="inlineStr">
        <x:is>
          <x:t xml:space="preserve">Duto</x:t>
        </x:is>
      </x:c>
      <x:c r="I34" t="n">
        <x:v>2011</x:v>
      </x:c>
      <x:c r="J34">
        <x:f>I34+30</x:f>
        <x:v>2041</x:v>
      </x:c>
      <x:c r="K34" t="n">
        <x:v>-23.29541667</x:v>
      </x:c>
      <x:c r="L34" t="n">
        <x:v>-41.20739167</x:v>
      </x:c>
      <x:c r="O34" s="7" t="inlineStr">
        <x:is>
          <x:t xml:space="preserve">https://www.gov.br/anp/pt-br/centrais-de-conteudo/dados-abertos/fase-de-desenvolvimento-e-producao</x:t>
        </x:is>
      </x:c>
    </x:row>
    <x:row r="35">
      <x:c r="A35" t="inlineStr">
        <x:is>
          <x:t xml:space="preserve">P-56</x:t>
        </x:is>
      </x:c>
      <x:c r="B35" t="inlineStr">
        <x:is>
          <x:t xml:space="preserve">PETROBRAS 56</x:t>
        </x:is>
      </x:c>
      <x:c r="C35" t="inlineStr">
        <x:is>
          <x:t xml:space="preserve">MARLIM SUL</x:t>
        </x:is>
      </x:c>
      <x:c r="D35" t="inlineStr">
        <x:is>
          <x:t xml:space="preserve">CAMPOS</x:t>
        </x:is>
      </x:c>
      <x:c r="E35" t="inlineStr">
        <x:is>
          <x:t xml:space="preserve">PETRÓLEO BRASILEIRO S.A. - PETROBRAS</x:t>
        </x:is>
      </x:c>
      <x:c r="F35" t="inlineStr">
        <x:is>
          <x:t xml:space="preserve">Semissubmersível - SS</x:t>
        </x:is>
      </x:c>
      <x:c r="G35" t="n">
        <x:v>1645</x:v>
      </x:c>
      <x:c r="H35" t="inlineStr">
        <x:is>
          <x:t xml:space="preserve">Duto</x:t>
        </x:is>
      </x:c>
      <x:c r="I35" t="n">
        <x:v>2011</x:v>
      </x:c>
      <x:c r="J35">
        <x:f>I35+30</x:f>
        <x:v>2041</x:v>
      </x:c>
      <x:c r="K35" t="n">
        <x:v>-22.62404167</x:v>
      </x:c>
      <x:c r="L35" t="n">
        <x:v>-39.98948333</x:v>
      </x:c>
      <x:c r="M35" t="n">
        <x:v>141000</x:v>
      </x:c>
      <x:c r="N35" t="n">
        <x:v>6000</x:v>
      </x:c>
      <x:c r="O35" s="7" t="inlineStr">
        <x:is>
          <x:t xml:space="preserve">https://www.gov.br/anp/pt-br/centrais-de-conteudo/dados-abertos/fase-de-desenvolvimento-e-producao</x:t>
        </x:is>
      </x:c>
    </x:row>
    <x:row r="36">
      <x:c r="A36" t="inlineStr">
        <x:is>
          <x:t xml:space="preserve">FCDA</x:t>
        </x:is>
      </x:c>
      <x:c r="B36" t="inlineStr">
        <x:is>
          <x:t xml:space="preserve">FPSO CIDADE DE ANCHIETA</x:t>
        </x:is>
      </x:c>
      <x:c r="C36" t="inlineStr">
        <x:is>
          <x:t xml:space="preserve">AnC_Jubarte_Nordeste / AnC_Jubarte_Sudoeste / ARGONAUTA / JUBARTE</x:t>
        </x:is>
      </x:c>
      <x:c r="D36" t="inlineStr">
        <x:is>
          <x:t xml:space="preserve">CAMPOS</x:t>
        </x:is>
      </x:c>
      <x:c r="E36" t="inlineStr">
        <x:is>
          <x:t xml:space="preserve">PETRÓLEO BRASILEIRO S.A. - PETROBRAS</x:t>
        </x:is>
      </x:c>
      <x:c r="F36" t="inlineStr">
        <x:is>
          <x:t xml:space="preserve">Floating Production Storage Offloading - FPSO</x:t>
        </x:is>
      </x:c>
      <x:c r="G36" t="n">
        <x:v>1221</x:v>
      </x:c>
      <x:c r="H36" t="inlineStr">
        <x:is>
          <x:t xml:space="preserve">Navio Aliviador</x:t>
        </x:is>
      </x:c>
      <x:c r="I36" t="n">
        <x:v>2012</x:v>
      </x:c>
      <x:c r="J36">
        <x:f>I36+30</x:f>
        <x:v>2042</x:v>
      </x:c>
      <x:c r="K36" t="n">
        <x:v>-21.33756667</x:v>
      </x:c>
      <x:c r="L36" t="n">
        <x:v>-40.05720278</x:v>
      </x:c>
      <x:c r="M36" t="n">
        <x:v>100000</x:v>
      </x:c>
      <x:c r="N36" t="n">
        <x:v>3500</x:v>
      </x:c>
      <x:c r="O36" s="7" t="inlineStr">
        <x:is>
          <x:t xml:space="preserve">https://www.gov.br/anp/pt-br/centrais-de-conteudo/dados-abertos/fase-de-desenvolvimento-e-producao</x:t>
        </x:is>
      </x:c>
    </x:row>
    <x:row r="37">
      <x:c r="A37" t="inlineStr">
        <x:is>
          <x:t xml:space="preserve">FPCP</x:t>
        </x:is>
      </x:c>
      <x:c r="B37" t="inlineStr">
        <x:is>
          <x:t xml:space="preserve">FPSO CIDADE DE PARATY</x:t>
        </x:is>
      </x:c>
      <x:c r="C37" t="inlineStr">
        <x:is>
          <x:t xml:space="preserve">AnC_TUPI / SUL DE TUPI / TUPI</x:t>
        </x:is>
      </x:c>
      <x:c r="D37" t="inlineStr">
        <x:is>
          <x:t xml:space="preserve">SANTOS</x:t>
        </x:is>
      </x:c>
      <x:c r="E37" t="inlineStr">
        <x:is>
          <x:t xml:space="preserve">PETRÓLEO BRASILEIRO S.A. - PETROBRAS</x:t>
        </x:is>
      </x:c>
      <x:c r="F37" t="inlineStr">
        <x:is>
          <x:t xml:space="preserve">Floating Production Storage Offloading - FPSO</x:t>
        </x:is>
      </x:c>
      <x:c r="G37" t="n">
        <x:v>2120</x:v>
      </x:c>
      <x:c r="H37" t="inlineStr">
        <x:is>
          <x:t xml:space="preserve">Navio Aliviador</x:t>
        </x:is>
      </x:c>
      <x:c r="I37" t="n">
        <x:v>2012</x:v>
      </x:c>
      <x:c r="J37">
        <x:f>I37+30</x:f>
        <x:v>2042</x:v>
      </x:c>
      <x:c r="K37" t="n">
        <x:v>-25.39437222</x:v>
      </x:c>
      <x:c r="L37" t="n">
        <x:v>-42.76180278</x:v>
      </x:c>
      <x:c r="M37" t="n">
        <x:v>120139</x:v>
      </x:c>
      <x:c r="N37" t="n">
        <x:v>5000</x:v>
      </x:c>
      <x:c r="O37" s="7" t="inlineStr">
        <x:is>
          <x:t xml:space="preserve">https://www.gov.br/anp/pt-br/centrais-de-conteudo/dados-abertos/fase-de-desenvolvimento-e-producao</x:t>
        </x:is>
      </x:c>
    </x:row>
    <x:row r="38">
      <x:c r="A38" t="inlineStr">
        <x:is>
          <x:t xml:space="preserve">BRAVO</x:t>
        </x:is>
      </x:c>
      <x:c r="B38" t="inlineStr">
        <x:is>
          <x:t xml:space="preserve">FPSO BRAVO</x:t>
        </x:is>
      </x:c>
      <x:c r="C38" t="inlineStr">
        <x:is>
          <x:t xml:space="preserve">TUBARÃO MARTELO</x:t>
        </x:is>
      </x:c>
      <x:c r="D38" t="inlineStr">
        <x:is>
          <x:t xml:space="preserve">CAMPOS</x:t>
        </x:is>
      </x:c>
      <x:c r="E38" t="inlineStr">
        <x:is>
          <x:t xml:space="preserve">PRIO BRAVO LTDA.</x:t>
        </x:is>
      </x:c>
      <x:c r="F38" t="inlineStr">
        <x:is>
          <x:t xml:space="preserve">Floating Production Storage Offloading - FPSO</x:t>
        </x:is>
      </x:c>
      <x:c r="G38" t="n">
        <x:v>105</x:v>
      </x:c>
      <x:c r="H38" t="inlineStr">
        <x:is>
          <x:t xml:space="preserve">Navio Aliviador</x:t>
        </x:is>
      </x:c>
      <x:c r="I38" t="n">
        <x:v>2013</x:v>
      </x:c>
      <x:c r="J38">
        <x:f>I38+30</x:f>
        <x:v>2043</x:v>
      </x:c>
      <x:c r="K38" t="n">
        <x:v>-23.13582222</x:v>
      </x:c>
      <x:c r="L38" t="n">
        <x:v>-41.07353056</x:v>
      </x:c>
      <x:c r="M38" t="n">
        <x:v>100000</x:v>
      </x:c>
      <x:c r="N38" t="n">
        <x:v>1500</x:v>
      </x:c>
      <x:c r="O38" s="7" t="inlineStr">
        <x:is>
          <x:t xml:space="preserve">https://www.gov.br/anp/pt-br/centrais-de-conteudo/dados-abertos/fase-de-desenvolvimento-e-producao</x:t>
        </x:is>
      </x:c>
    </x:row>
    <x:row r="39">
      <x:c r="A39" t="inlineStr">
        <x:is>
          <x:t xml:space="preserve">FPCI</x:t>
        </x:is>
      </x:c>
      <x:c r="B39" t="inlineStr">
        <x:is>
          <x:t xml:space="preserve">FPSO CIDADE DE ITAJAÍ</x:t>
        </x:is>
      </x:c>
      <x:c r="C39" t="inlineStr">
        <x:is>
          <x:t xml:space="preserve">BAÚNA</x:t>
        </x:is>
      </x:c>
      <x:c r="D39" t="inlineStr">
        <x:is>
          <x:t xml:space="preserve">SANTOS</x:t>
        </x:is>
      </x:c>
      <x:c r="E39" t="inlineStr">
        <x:is>
          <x:t xml:space="preserve">KAROON PETRÓLEO E GÁS LTDA.</x:t>
        </x:is>
      </x:c>
      <x:c r="F39" t="inlineStr">
        <x:is>
          <x:t xml:space="preserve">Floating Production Storage Offloading - FPSO</x:t>
        </x:is>
      </x:c>
      <x:c r="G39" t="n">
        <x:v>275</x:v>
      </x:c>
      <x:c r="H39" t="inlineStr">
        <x:is>
          <x:t xml:space="preserve">Navio Aliviador</x:t>
        </x:is>
      </x:c>
      <x:c r="I39" t="n">
        <x:v>2013</x:v>
      </x:c>
      <x:c r="J39">
        <x:f>I39+30</x:f>
        <x:v>2043</x:v>
      </x:c>
      <x:c r="K39" t="n">
        <x:v>-26.46462444</x:v>
      </x:c>
      <x:c r="L39" t="n">
        <x:v>-46.53012444</x:v>
      </x:c>
      <x:c r="M39" t="n">
        <x:v>80000</x:v>
      </x:c>
      <x:c r="N39" t="n">
        <x:v>2000</x:v>
      </x:c>
      <x:c r="O39" s="7" t="inlineStr">
        <x:is>
          <x:t xml:space="preserve">https://www.gov.br/anp/pt-br/centrais-de-conteudo/dados-abertos/fase-de-desenvolvimento-e-producao</x:t>
        </x:is>
      </x:c>
    </x:row>
    <x:row r="40">
      <x:c r="A40" t="inlineStr">
        <x:is>
          <x:t xml:space="preserve">3R-3</x:t>
        </x:is>
      </x:c>
      <x:c r="B40" t="inlineStr">
        <x:is>
          <x:t xml:space="preserve">PLATAFORMA 3R-3</x:t>
        </x:is>
      </x:c>
      <x:c r="C40" t="inlineStr">
        <x:is>
          <x:t xml:space="preserve">PAPA-TERRA</x:t>
        </x:is>
      </x:c>
      <x:c r="D40" t="inlineStr">
        <x:is>
          <x:t xml:space="preserve">CAMPOS</x:t>
        </x:is>
      </x:c>
      <x:c r="E40" t="inlineStr">
        <x:is>
          <x:t xml:space="preserve">3R PETROLEUM OFFSHORE S.A.</x:t>
        </x:is>
      </x:c>
      <x:c r="F40" t="inlineStr">
        <x:is>
          <x:t xml:space="preserve">Floating Production Storage Offloading - FPSO</x:t>
        </x:is>
      </x:c>
      <x:c r="G40" t="n">
        <x:v>1165</x:v>
      </x:c>
      <x:c r="H40" t="inlineStr">
        <x:is>
          <x:t xml:space="preserve">Navio Aliviador</x:t>
        </x:is>
      </x:c>
      <x:c r="I40" t="n">
        <x:v>2013</x:v>
      </x:c>
      <x:c r="J40">
        <x:f>I40+30</x:f>
        <x:v>2043</x:v>
      </x:c>
      <x:c r="K40" t="n">
        <x:v>-23.51396333</x:v>
      </x:c>
      <x:c r="L40" t="n">
        <x:v>-41.06461833</x:v>
      </x:c>
      <x:c r="M40" t="n">
        <x:v>140000</x:v>
      </x:c>
      <x:c r="N40" t="n">
        <x:v>1000</x:v>
      </x:c>
      <x:c r="O40" s="7" t="inlineStr">
        <x:is>
          <x:t xml:space="preserve">https://www.gov.br/anp/pt-br/centrais-de-conteudo/dados-abertos/fase-de-desenvolvimento-e-producao</x:t>
        </x:is>
      </x:c>
    </x:row>
    <x:row r="41">
      <x:c r="A41" t="inlineStr">
        <x:is>
          <x:t xml:space="preserve">FPCSP</x:t>
        </x:is>
      </x:c>
      <x:c r="B41" t="inlineStr">
        <x:is>
          <x:t xml:space="preserve">FPSO CIDADE DE SÃO PAULO</x:t>
        </x:is>
      </x:c>
      <x:c r="C41" t="inlineStr">
        <x:is>
          <x:t xml:space="preserve">NORDESTE DE SAPINHOÁ / NOROESTE DE SAPINHOÁ / SAPINHOÁ / SUDOESTE DE SAPINHOÁ</x:t>
        </x:is>
      </x:c>
      <x:c r="D41" t="inlineStr">
        <x:is>
          <x:t xml:space="preserve">SANTOS</x:t>
        </x:is>
      </x:c>
      <x:c r="E41" t="inlineStr">
        <x:is>
          <x:t xml:space="preserve">PETRÓLEO BRASILEIRO S.A. - PETROBRAS</x:t>
        </x:is>
      </x:c>
      <x:c r="F41" t="inlineStr">
        <x:is>
          <x:t xml:space="preserve">Floating Production Storage Offloading - FPSO</x:t>
        </x:is>
      </x:c>
      <x:c r="G41" t="n">
        <x:v>2140</x:v>
      </x:c>
      <x:c r="H41" t="inlineStr">
        <x:is>
          <x:t xml:space="preserve">Navio Aliviador</x:t>
        </x:is>
      </x:c>
      <x:c r="I41" t="n">
        <x:v>2013</x:v>
      </x:c>
      <x:c r="J41">
        <x:f>I41+30</x:f>
        <x:v>2043</x:v>
      </x:c>
      <x:c r="K41" t="n">
        <x:v>-25.79933417</x:v>
      </x:c>
      <x:c r="L41" t="n">
        <x:v>-43.26283917</x:v>
      </x:c>
      <x:c r="M41" t="n">
        <x:v>120000</x:v>
      </x:c>
      <x:c r="N41" t="n">
        <x:v>5000</x:v>
      </x:c>
      <x:c r="O41" s="7" t="inlineStr">
        <x:is>
          <x:t xml:space="preserve">https://www.gov.br/anp/pt-br/centrais-de-conteudo/dados-abertos/fase-de-desenvolvimento-e-producao</x:t>
        </x:is>
      </x:c>
    </x:row>
    <x:row r="42">
      <x:c r="A42" t="inlineStr">
        <x:is>
          <x:t xml:space="preserve">P-58</x:t>
        </x:is>
      </x:c>
      <x:c r="B42" t="inlineStr">
        <x:is>
          <x:t xml:space="preserve">PETROBRAS 58</x:t>
        </x:is>
      </x:c>
      <x:c r="C42" t="inlineStr">
        <x:is>
          <x:t xml:space="preserve">AnC_Jubarte_Nordeste / AnC_Jubarte_Sudoeste / ARGONAUTA / BALEIA ANÃ / JUBARTE</x:t>
        </x:is>
      </x:c>
      <x:c r="D42" t="inlineStr">
        <x:is>
          <x:t xml:space="preserve">CAMPOS</x:t>
        </x:is>
      </x:c>
      <x:c r="E42" t="inlineStr">
        <x:is>
          <x:t xml:space="preserve">PETRÓLEO BRASILEIRO S.A. - PETROBRAS</x:t>
        </x:is>
      </x:c>
      <x:c r="F42" t="inlineStr">
        <x:is>
          <x:t xml:space="preserve">Floating Production Storage Offloading - FPSO</x:t>
        </x:is>
      </x:c>
      <x:c r="G42" t="n">
        <x:v>1399</x:v>
      </x:c>
      <x:c r="H42" t="inlineStr">
        <x:is>
          <x:t xml:space="preserve">Navio Aliviador</x:t>
        </x:is>
      </x:c>
      <x:c r="I42" t="n">
        <x:v>2014</x:v>
      </x:c>
      <x:c r="J42">
        <x:f>I42+30</x:f>
        <x:v>2044</x:v>
      </x:c>
      <x:c r="K42" t="n">
        <x:v>-21.21508417</x:v>
      </x:c>
      <x:c r="L42" t="n">
        <x:v>-39.99736472</x:v>
      </x:c>
      <x:c r="M42" t="n">
        <x:v>180018</x:v>
      </x:c>
      <x:c r="N42" t="n">
        <x:v>6000</x:v>
      </x:c>
      <x:c r="O42" s="7" t="inlineStr">
        <x:is>
          <x:t xml:space="preserve">https://www.gov.br/anp/pt-br/centrais-de-conteudo/dados-abertos/fase-de-desenvolvimento-e-producao</x:t>
        </x:is>
      </x:c>
    </x:row>
    <x:row r="43">
      <x:c r="A43" t="inlineStr">
        <x:is>
          <x:t xml:space="preserve">3R-2</x:t>
        </x:is>
      </x:c>
      <x:c r="B43" t="inlineStr">
        <x:is>
          <x:t xml:space="preserve">PLATAFORMA 3R-2</x:t>
        </x:is>
      </x:c>
      <x:c r="C43" t="inlineStr">
        <x:is>
          <x:t xml:space="preserve">PAPA-TERRA</x:t>
        </x:is>
      </x:c>
      <x:c r="D43" t="inlineStr">
        <x:is>
          <x:t xml:space="preserve">CAMPOS</x:t>
        </x:is>
      </x:c>
      <x:c r="E43" t="inlineStr">
        <x:is>
          <x:t xml:space="preserve">3R PETROLEUM OFFSHORE S.A.</x:t>
        </x:is>
      </x:c>
      <x:c r="F43" t="inlineStr">
        <x:is>
          <x:t xml:space="preserve">Tension Leg Platform - TLP</x:t>
        </x:is>
      </x:c>
      <x:c r="G43" t="n">
        <x:v>1185</x:v>
      </x:c>
      <x:c r="H43" t="inlineStr">
        <x:is>
          <x:t xml:space="preserve">Duto</x:t>
        </x:is>
      </x:c>
      <x:c r="I43" t="n">
        <x:v>2014</x:v>
      </x:c>
      <x:c r="J43">
        <x:f>I43+30</x:f>
        <x:v>2044</x:v>
      </x:c>
      <x:c r="K43" t="n">
        <x:v>-23.51603889</x:v>
      </x:c>
      <x:c r="L43" t="n">
        <x:v>-41.0612925</x:v>
      </x:c>
      <x:c r="O43" s="7" t="inlineStr">
        <x:is>
          <x:t xml:space="preserve">https://www.gov.br/anp/pt-br/centrais-de-conteudo/dados-abertos/fase-de-desenvolvimento-e-producao</x:t>
        </x:is>
      </x:c>
    </x:row>
    <x:row r="44">
      <x:c r="A44" t="inlineStr">
        <x:is>
          <x:t xml:space="preserve">FPCIB</x:t>
        </x:is>
      </x:c>
      <x:c r="B44" t="inlineStr">
        <x:is>
          <x:t xml:space="preserve">FPSO CIDADE DE ILHABELA</x:t>
        </x:is>
      </x:c>
      <x:c r="C44" t="inlineStr">
        <x:is>
          <x:t xml:space="preserve">NORDESTE DE SAPINHOÁ / NOROESTE DE SAPINHOÁ / SAPINHOÁ / SUDOESTE DE SAPINHOÁ</x:t>
        </x:is>
      </x:c>
      <x:c r="D44" t="inlineStr">
        <x:is>
          <x:t xml:space="preserve">SANTOS</x:t>
        </x:is>
      </x:c>
      <x:c r="E44" t="inlineStr">
        <x:is>
          <x:t xml:space="preserve">PETRÓLEO BRASILEIRO S.A. - PETROBRAS</x:t>
        </x:is>
      </x:c>
      <x:c r="F44" t="inlineStr">
        <x:is>
          <x:t xml:space="preserve">Floating Production Storage Offloading - FPSO</x:t>
        </x:is>
      </x:c>
      <x:c r="G44" t="n">
        <x:v>2140</x:v>
      </x:c>
      <x:c r="H44" t="inlineStr">
        <x:is>
          <x:t xml:space="preserve">Navio Aliviador</x:t>
        </x:is>
      </x:c>
      <x:c r="I44" t="n">
        <x:v>2014</x:v>
      </x:c>
      <x:c r="J44">
        <x:f>I44+30</x:f>
        <x:v>2044</x:v>
      </x:c>
      <x:c r="K44" t="n">
        <x:v>-25.67280556</x:v>
      </x:c>
      <x:c r="L44" t="n">
        <x:v>-43.20619167</x:v>
      </x:c>
      <x:c r="M44" t="n">
        <x:v>150000</x:v>
      </x:c>
      <x:c r="N44" t="n">
        <x:v>6000</x:v>
      </x:c>
      <x:c r="O44" s="7" t="inlineStr">
        <x:is>
          <x:t xml:space="preserve">https://www.gov.br/anp/pt-br/centrais-de-conteudo/dados-abertos/fase-de-desenvolvimento-e-producao</x:t>
        </x:is>
      </x:c>
    </x:row>
    <x:row r="45">
      <x:c r="A45" t="inlineStr">
        <x:is>
          <x:t xml:space="preserve">P-55</x:t>
        </x:is>
      </x:c>
      <x:c r="B45" t="inlineStr">
        <x:is>
          <x:t xml:space="preserve">PETROBRAS 55</x:t>
        </x:is>
      </x:c>
      <x:c r="C45" t="inlineStr">
        <x:is>
          <x:t xml:space="preserve">RONCADOR</x:t>
        </x:is>
      </x:c>
      <x:c r="D45" t="inlineStr">
        <x:is>
          <x:t xml:space="preserve">CAMPOS</x:t>
        </x:is>
      </x:c>
      <x:c r="E45" t="inlineStr">
        <x:is>
          <x:t xml:space="preserve">PETRÓLEO BRASILEIRO S.A. - PETROBRAS</x:t>
        </x:is>
      </x:c>
      <x:c r="F45" t="inlineStr">
        <x:is>
          <x:t xml:space="preserve">Semissubmersível - SS</x:t>
        </x:is>
      </x:c>
      <x:c r="G45" t="n">
        <x:v>1795</x:v>
      </x:c>
      <x:c r="H45" t="inlineStr">
        <x:is>
          <x:t xml:space="preserve">Duto</x:t>
        </x:is>
      </x:c>
      <x:c r="I45" t="n">
        <x:v>2014</x:v>
      </x:c>
      <x:c r="J45">
        <x:f>I45+30</x:f>
        <x:v>2044</x:v>
      </x:c>
      <x:c r="K45" t="n">
        <x:v>-21.99321972</x:v>
      </x:c>
      <x:c r="L45" t="n">
        <x:v>-39.73953889</x:v>
      </x:c>
      <x:c r="M45" t="n">
        <x:v>180000</x:v>
      </x:c>
      <x:c r="N45" t="n">
        <x:v>4000</x:v>
      </x:c>
      <x:c r="O45" s="7" t="inlineStr">
        <x:is>
          <x:t xml:space="preserve">https://www.gov.br/anp/pt-br/centrais-de-conteudo/dados-abertos/fase-de-desenvolvimento-e-producao</x:t>
        </x:is>
      </x:c>
    </x:row>
    <x:row r="46">
      <x:c r="A46" t="inlineStr">
        <x:is>
          <x:t xml:space="preserve">P-62</x:t>
        </x:is>
      </x:c>
      <x:c r="B46" t="inlineStr">
        <x:is>
          <x:t xml:space="preserve">PETROBRAS 62</x:t>
        </x:is>
      </x:c>
      <x:c r="C46" t="inlineStr">
        <x:is>
          <x:t xml:space="preserve">RONCADOR</x:t>
        </x:is>
      </x:c>
      <x:c r="D46" t="inlineStr">
        <x:is>
          <x:t xml:space="preserve">CAMPOS</x:t>
        </x:is>
      </x:c>
      <x:c r="E46" t="inlineStr">
        <x:is>
          <x:t xml:space="preserve">PETRÓLEO BRASILEIRO S.A. - PETROBRAS</x:t>
        </x:is>
      </x:c>
      <x:c r="F46" t="inlineStr">
        <x:is>
          <x:t xml:space="preserve">Floating Production Storage Offloading - FPSO</x:t>
        </x:is>
      </x:c>
      <x:c r="G46" t="n">
        <x:v>1580</x:v>
      </x:c>
      <x:c r="H46" t="inlineStr">
        <x:is>
          <x:t xml:space="preserve">Navio Aliviador</x:t>
        </x:is>
      </x:c>
      <x:c r="I46" t="n">
        <x:v>2014</x:v>
      </x:c>
      <x:c r="J46">
        <x:f>I46+30</x:f>
        <x:v>2044</x:v>
      </x:c>
      <x:c r="K46" t="n">
        <x:v>-21.94083333</x:v>
      </x:c>
      <x:c r="L46" t="n">
        <x:v>-39.78611111</x:v>
      </x:c>
      <x:c r="M46" t="n">
        <x:v>180000</x:v>
      </x:c>
      <x:c r="N46" t="n">
        <x:v>6000</x:v>
      </x:c>
      <x:c r="O46" s="7" t="inlineStr">
        <x:is>
          <x:t xml:space="preserve">https://www.gov.br/anp/pt-br/centrais-de-conteudo/dados-abertos/fase-de-desenvolvimento-e-producao</x:t>
        </x:is>
      </x:c>
    </x:row>
    <x:row r="47">
      <x:c r="A47" t="inlineStr">
        <x:is>
          <x:t xml:space="preserve">FPCMB</x:t>
        </x:is>
      </x:c>
      <x:c r="B47" t="inlineStr">
        <x:is>
          <x:t xml:space="preserve">FPSO CIDADE DE MANGARATIBA</x:t>
        </x:is>
      </x:c>
      <x:c r="C47" t="inlineStr">
        <x:is>
          <x:t xml:space="preserve">TUPI</x:t>
        </x:is>
      </x:c>
      <x:c r="D47" t="inlineStr">
        <x:is>
          <x:t xml:space="preserve">SANTOS</x:t>
        </x:is>
      </x:c>
      <x:c r="E47" t="inlineStr">
        <x:is>
          <x:t xml:space="preserve">PETRÓLEO BRASILEIRO S.A. - PETROBRAS</x:t>
        </x:is>
      </x:c>
      <x:c r="F47" t="inlineStr">
        <x:is>
          <x:t xml:space="preserve">Floating Production Storage Offloading - FPSO</x:t>
        </x:is>
      </x:c>
      <x:c r="G47" t="n">
        <x:v>2200</x:v>
      </x:c>
      <x:c r="H47" t="inlineStr">
        <x:is>
          <x:t xml:space="preserve">Navio Aliviador</x:t>
        </x:is>
      </x:c>
      <x:c r="I47" t="n">
        <x:v>2014</x:v>
      </x:c>
      <x:c r="J47">
        <x:f>I47+30</x:f>
        <x:v>2044</x:v>
      </x:c>
      <x:c r="K47" t="n">
        <x:v>-25.20407778</x:v>
      </x:c>
      <x:c r="L47" t="n">
        <x:v>-42.87856389</x:v>
      </x:c>
      <x:c r="M47" t="n">
        <x:v>150955</x:v>
      </x:c>
      <x:c r="N47" t="n">
        <x:v>8000</x:v>
      </x:c>
      <x:c r="O47" s="7" t="inlineStr">
        <x:is>
          <x:t xml:space="preserve">https://www.gov.br/anp/pt-br/centrais-de-conteudo/dados-abertos/fase-de-desenvolvimento-e-producao</x:t>
        </x:is>
      </x:c>
    </x:row>
    <x:row r="48">
      <x:c r="A48" t="inlineStr">
        <x:is>
          <x:t xml:space="preserve">FPCIG</x:t>
        </x:is>
      </x:c>
      <x:c r="B48" t="inlineStr">
        <x:is>
          <x:t xml:space="preserve">FPSO CIDADE DE ITAGUAÍ</x:t>
        </x:is>
      </x:c>
      <x:c r="C48" t="inlineStr">
        <x:is>
          <x:t xml:space="preserve">TUPI</x:t>
        </x:is>
      </x:c>
      <x:c r="D48" t="inlineStr">
        <x:is>
          <x:t xml:space="preserve">SANTOS</x:t>
        </x:is>
      </x:c>
      <x:c r="E48" t="inlineStr">
        <x:is>
          <x:t xml:space="preserve">PETRÓLEO BRASILEIRO S.A. - PETROBRAS</x:t>
        </x:is>
      </x:c>
      <x:c r="F48" t="inlineStr">
        <x:is>
          <x:t xml:space="preserve">Floating Production Storage Offloading - FPSO</x:t>
        </x:is>
      </x:c>
      <x:c r="G48" t="n">
        <x:v>2240</x:v>
      </x:c>
      <x:c r="H48" t="inlineStr">
        <x:is>
          <x:t xml:space="preserve">Navio Aliviador</x:t>
        </x:is>
      </x:c>
      <x:c r="I48" t="n">
        <x:v>2015</x:v>
      </x:c>
      <x:c r="J48">
        <x:f>I48+30</x:f>
        <x:v>2045</x:v>
      </x:c>
      <x:c r="K48" t="n">
        <x:v>-25.14156917</x:v>
      </x:c>
      <x:c r="L48" t="n">
        <x:v>-42.94469694</x:v>
      </x:c>
      <x:c r="M48" t="n">
        <x:v>150955</x:v>
      </x:c>
      <x:c r="N48" t="n">
        <x:v>8000</x:v>
      </x:c>
      <x:c r="O48" s="7" t="inlineStr">
        <x:is>
          <x:t xml:space="preserve">https://www.gov.br/anp/pt-br/centrais-de-conteudo/dados-abertos/fase-de-desenvolvimento-e-producao</x:t>
        </x:is>
      </x:c>
    </x:row>
    <x:row r="49">
      <x:c r="A49" t="inlineStr">
        <x:is>
          <x:t xml:space="preserve">FPCCG</x:t>
        </x:is>
      </x:c>
      <x:c r="B49" t="inlineStr">
        <x:is>
          <x:t xml:space="preserve">FPSO CIDADE DE CARAGUATATUBA - CCG (MV-27)</x:t>
        </x:is>
      </x:c>
      <x:c r="C49" t="inlineStr">
        <x:is>
          <x:t xml:space="preserve">LAPA</x:t>
        </x:is>
      </x:c>
      <x:c r="D49" t="inlineStr">
        <x:is>
          <x:t xml:space="preserve">SANTOS</x:t>
        </x:is>
      </x:c>
      <x:c r="E49" t="inlineStr">
        <x:is>
          <x:t xml:space="preserve">TOTALENERGIES EP BRASIL LTDA.</x:t>
        </x:is>
      </x:c>
      <x:c r="F49" t="inlineStr">
        <x:is>
          <x:t xml:space="preserve">Floating Production Storage Offloading - FPSO</x:t>
        </x:is>
      </x:c>
      <x:c r="G49" t="n">
        <x:v>2140</x:v>
      </x:c>
      <x:c r="H49" t="inlineStr">
        <x:is>
          <x:t xml:space="preserve">Navio Aliviador</x:t>
        </x:is>
      </x:c>
      <x:c r="I49" t="n">
        <x:v>2016</x:v>
      </x:c>
      <x:c r="J49">
        <x:f>I49+30</x:f>
        <x:v>2046</x:v>
      </x:c>
      <x:c r="K49" t="n">
        <x:v>-25.51872556</x:v>
      </x:c>
      <x:c r="L49" t="n">
        <x:v>-43.46654667</x:v>
      </x:c>
      <x:c r="M49" t="n">
        <x:v>120764</x:v>
      </x:c>
      <x:c r="N49" t="n">
        <x:v>4739</x:v>
      </x:c>
      <x:c r="O49" s="7" t="inlineStr">
        <x:is>
          <x:t xml:space="preserve">https://www.gov.br/anp/pt-br/centrais-de-conteudo/dados-abertos/fase-de-desenvolvimento-e-producao</x:t>
        </x:is>
      </x:c>
    </x:row>
    <x:row r="50">
      <x:c r="A50" t="inlineStr">
        <x:is>
          <x:t xml:space="preserve">FPCSQ</x:t>
        </x:is>
      </x:c>
      <x:c r="B50" t="inlineStr">
        <x:is>
          <x:t xml:space="preserve">FPSO CIDADE DE SAQUAREMA</x:t>
        </x:is>
      </x:c>
      <x:c r="C50" t="inlineStr">
        <x:is>
          <x:t xml:space="preserve">AnC_TUPI / SUL DE TUPI / TUPI</x:t>
        </x:is>
      </x:c>
      <x:c r="D50" t="inlineStr">
        <x:is>
          <x:t xml:space="preserve">SANTOS</x:t>
        </x:is>
      </x:c>
      <x:c r="E50" t="inlineStr">
        <x:is>
          <x:t xml:space="preserve">PETRÓLEO BRASILEIRO S.A. - PETROBRAS</x:t>
        </x:is>
      </x:c>
      <x:c r="F50" t="inlineStr">
        <x:is>
          <x:t xml:space="preserve">Floating Production Storage Offloading - FPSO</x:t>
        </x:is>
      </x:c>
      <x:c r="G50" t="n">
        <x:v>2120</x:v>
      </x:c>
      <x:c r="H50" t="inlineStr">
        <x:is>
          <x:t xml:space="preserve">Navio Aliviador</x:t>
        </x:is>
      </x:c>
      <x:c r="I50" t="n">
        <x:v>2016</x:v>
      </x:c>
      <x:c r="J50">
        <x:f>I50+30</x:f>
        <x:v>2046</x:v>
      </x:c>
      <x:c r="K50" t="n">
        <x:v>-25.4912675</x:v>
      </x:c>
      <x:c r="L50" t="n">
        <x:v>-42.78126306</x:v>
      </x:c>
      <x:c r="M50" t="n">
        <x:v>150000</x:v>
      </x:c>
      <x:c r="N50" t="n">
        <x:v>6000</x:v>
      </x:c>
      <x:c r="O50" s="7" t="inlineStr">
        <x:is>
          <x:t xml:space="preserve">https://www.gov.br/anp/pt-br/centrais-de-conteudo/dados-abertos/fase-de-desenvolvimento-e-producao</x:t>
        </x:is>
      </x:c>
    </x:row>
    <x:row r="51">
      <x:c r="A51" t="inlineStr">
        <x:is>
          <x:t xml:space="preserve">FPCMC</x:t>
        </x:is>
      </x:c>
      <x:c r="B51" t="inlineStr">
        <x:is>
          <x:t xml:space="preserve">FPSO CIDADE DE MARICÁ</x:t>
        </x:is>
      </x:c>
      <x:c r="C51" t="inlineStr">
        <x:is>
          <x:t xml:space="preserve">AnC_TUPI / SUL DE TUPI / TUPI</x:t>
        </x:is>
      </x:c>
      <x:c r="D51" t="inlineStr">
        <x:is>
          <x:t xml:space="preserve">SANTOS</x:t>
        </x:is>
      </x:c>
      <x:c r="E51" t="inlineStr">
        <x:is>
          <x:t xml:space="preserve">PETRÓLEO BRASILEIRO S.A. - PETROBRAS</x:t>
        </x:is>
      </x:c>
      <x:c r="F51" t="inlineStr">
        <x:is>
          <x:t xml:space="preserve">Floating Production Storage Offloading - FPSO</x:t>
        </x:is>
      </x:c>
      <x:c r="G51" t="n">
        <x:v>2120</x:v>
      </x:c>
      <x:c r="H51" t="inlineStr">
        <x:is>
          <x:t xml:space="preserve">Navio Aliviador</x:t>
        </x:is>
      </x:c>
      <x:c r="I51" t="n">
        <x:v>2016</x:v>
      </x:c>
      <x:c r="J51">
        <x:f>I51+30</x:f>
        <x:v>2046</x:v>
      </x:c>
      <x:c r="K51" t="n">
        <x:v>-25.44884861</x:v>
      </x:c>
      <x:c r="L51" t="n">
        <x:v>-42.75307194</x:v>
      </x:c>
      <x:c r="M51" t="n">
        <x:v>150000</x:v>
      </x:c>
      <x:c r="N51" t="n">
        <x:v>6000</x:v>
      </x:c>
      <x:c r="O51" s="7" t="inlineStr">
        <x:is>
          <x:t xml:space="preserve">https://www.gov.br/anp/pt-br/centrais-de-conteudo/dados-abertos/fase-de-desenvolvimento-e-producao</x:t>
        </x:is>
      </x:c>
    </x:row>
    <x:row r="52">
      <x:c r="A52" t="inlineStr">
        <x:is>
          <x:t xml:space="preserve">FPPL</x:t>
        </x:is>
      </x:c>
      <x:c r="B52" t="inlineStr">
        <x:is>
          <x:t xml:space="preserve">FPSO PIONEIRO DE LIBRA</x:t>
        </x:is>
      </x:c>
      <x:c r="C52" t="inlineStr">
        <x:is>
          <x:t xml:space="preserve">AnC_MERO / MERO</x:t>
        </x:is>
      </x:c>
      <x:c r="D52" t="inlineStr">
        <x:is>
          <x:t xml:space="preserve">SANTOS</x:t>
        </x:is>
      </x:c>
      <x:c r="E52" t="inlineStr">
        <x:is>
          <x:t xml:space="preserve">PETRÓLEO BRASILEIRO S.A. - PETROBRAS</x:t>
        </x:is>
      </x:c>
      <x:c r="F52" t="inlineStr">
        <x:is>
          <x:t xml:space="preserve">Floating Production Storage Offloading - FPSO</x:t>
        </x:is>
      </x:c>
      <x:c r="G52" t="n">
        <x:v>1920</x:v>
      </x:c>
      <x:c r="H52" t="inlineStr">
        <x:is>
          <x:t xml:space="preserve">Navio Aliviador</x:t>
        </x:is>
      </x:c>
      <x:c r="I52" t="n">
        <x:v>2017</x:v>
      </x:c>
      <x:c r="J52">
        <x:f>I52+30</x:f>
        <x:v>2047</x:v>
      </x:c>
      <x:c r="K52" t="n">
        <x:v>-24.54004972</x:v>
      </x:c>
      <x:c r="L52" t="n">
        <x:v>-42.13184361</x:v>
      </x:c>
      <x:c r="M52" t="n">
        <x:v>50318</x:v>
      </x:c>
      <x:c r="N52" t="n">
        <x:v>4000</x:v>
      </x:c>
      <x:c r="O52" s="7" t="inlineStr">
        <x:is>
          <x:t xml:space="preserve">https://www.gov.br/anp/pt-br/centrais-de-conteudo/dados-abertos/fase-de-desenvolvimento-e-producao</x:t>
        </x:is>
      </x:c>
    </x:row>
    <x:row r="53">
      <x:c r="A53" t="inlineStr">
        <x:is>
          <x:t xml:space="preserve">P-66</x:t>
        </x:is>
      </x:c>
      <x:c r="B53" t="inlineStr">
        <x:is>
          <x:t xml:space="preserve">PETROBRAS 66</x:t>
        </x:is>
      </x:c>
      <x:c r="C53" t="inlineStr">
        <x:is>
          <x:t xml:space="preserve">AnC_TUPI / SUL DE TUPI / TUPI</x:t>
        </x:is>
      </x:c>
      <x:c r="D53" t="inlineStr">
        <x:is>
          <x:t xml:space="preserve">SANTOS</x:t>
        </x:is>
      </x:c>
      <x:c r="E53" t="inlineStr">
        <x:is>
          <x:t xml:space="preserve">PETRÓLEO BRASILEIRO S.A. - PETROBRAS</x:t>
        </x:is>
      </x:c>
      <x:c r="F53" t="inlineStr">
        <x:is>
          <x:t xml:space="preserve">Floating Production Storage Offloading - FPSO</x:t>
        </x:is>
      </x:c>
      <x:c r="G53" t="n">
        <x:v>2150</x:v>
      </x:c>
      <x:c r="H53" t="inlineStr">
        <x:is>
          <x:t xml:space="preserve">Navio Aliviador</x:t>
        </x:is>
      </x:c>
      <x:c r="I53" t="n">
        <x:v>2017</x:v>
      </x:c>
      <x:c r="J53">
        <x:f>I53+30</x:f>
        <x:v>2047</x:v>
      </x:c>
      <x:c r="K53" t="n">
        <x:v>-25.60281861</x:v>
      </x:c>
      <x:c r="L53" t="n">
        <x:v>-42.8206575</x:v>
      </x:c>
      <x:c r="M53" t="n">
        <x:v>150955</x:v>
      </x:c>
      <x:c r="N53" t="n">
        <x:v>6000</x:v>
      </x:c>
      <x:c r="O53" s="7" t="inlineStr">
        <x:is>
          <x:t xml:space="preserve">https://www.gov.br/anp/pt-br/centrais-de-conteudo/dados-abertos/fase-de-desenvolvimento-e-producao</x:t>
        </x:is>
      </x:c>
    </x:row>
    <x:row r="54">
      <x:c r="A54" t="inlineStr">
        <x:is>
          <x:t xml:space="preserve">P-68</x:t>
        </x:is>
      </x:c>
      <x:c r="B54" t="inlineStr">
        <x:is>
          <x:t xml:space="preserve">PETROBRAS 68</x:t>
        </x:is>
      </x:c>
      <x:c r="C54" t="inlineStr">
        <x:is>
          <x:t xml:space="preserve">BERBIGÃO / SUL DE BERBIGÃO</x:t>
        </x:is>
      </x:c>
      <x:c r="D54" t="inlineStr">
        <x:is>
          <x:t xml:space="preserve">SANTOS</x:t>
        </x:is>
      </x:c>
      <x:c r="E54" t="inlineStr">
        <x:is>
          <x:t xml:space="preserve">PETRÓLEO BRASILEIRO S.A. - PETROBRAS</x:t>
        </x:is>
      </x:c>
      <x:c r="F54" t="inlineStr">
        <x:is>
          <x:t xml:space="preserve">Floating Production Storage Offloading - FPSO</x:t>
        </x:is>
      </x:c>
      <x:c r="G54" t="n">
        <x:v>2280</x:v>
      </x:c>
      <x:c r="H54" t="inlineStr">
        <x:is>
          <x:t xml:space="preserve">Navio Aliviador</x:t>
        </x:is>
      </x:c>
      <x:c r="I54" t="n">
        <x:v>2018</x:v>
      </x:c>
      <x:c r="J54">
        <x:f>I54+30</x:f>
        <x:v>2048</x:v>
      </x:c>
      <x:c r="K54" t="n">
        <x:v>-25.02295278</x:v>
      </x:c>
      <x:c r="L54" t="n">
        <x:v>-42.66778889</x:v>
      </x:c>
      <x:c r="M54" t="n">
        <x:v>163000</x:v>
      </x:c>
      <x:c r="N54" t="n">
        <x:v>6000</x:v>
      </x:c>
      <x:c r="O54" s="7" t="inlineStr">
        <x:is>
          <x:t xml:space="preserve">https://www.gov.br/anp/pt-br/centrais-de-conteudo/dados-abertos/fase-de-desenvolvimento-e-producao</x:t>
        </x:is>
      </x:c>
    </x:row>
    <x:row r="55">
      <x:c r="A55" t="inlineStr">
        <x:is>
          <x:t xml:space="preserve">FPCGZ</x:t>
        </x:is>
      </x:c>
      <x:c r="B55" t="inlineStr">
        <x:is>
          <x:t xml:space="preserve">FPSO CIDADE DE CAMPOS DOS GOYTACAZES</x:t>
        </x:is>
      </x:c>
      <x:c r="C55" t="inlineStr">
        <x:is>
          <x:t xml:space="preserve">ESPADARTE / TARTARUGA VERDE / TARTARUGA VERDE SUDOESTE</x:t>
        </x:is>
      </x:c>
      <x:c r="D55" t="inlineStr">
        <x:is>
          <x:t xml:space="preserve">CAMPOS</x:t>
        </x:is>
      </x:c>
      <x:c r="E55" t="inlineStr">
        <x:is>
          <x:t xml:space="preserve">PETRÓLEO BRASILEIRO S.A. - PETROBRAS</x:t>
        </x:is>
      </x:c>
      <x:c r="F55" t="inlineStr">
        <x:is>
          <x:t xml:space="preserve">Floating Production Storage Offloading - FPSO</x:t>
        </x:is>
      </x:c>
      <x:c r="G55" t="n">
        <x:v>765</x:v>
      </x:c>
      <x:c r="H55" t="inlineStr">
        <x:is>
          <x:t xml:space="preserve">Navio Aliviador</x:t>
        </x:is>
      </x:c>
      <x:c r="I55" t="n">
        <x:v>2018</x:v>
      </x:c>
      <x:c r="J55">
        <x:f>I55+30</x:f>
        <x:v>2048</x:v>
      </x:c>
      <x:c r="K55" t="n">
        <x:v>-22.95337917</x:v>
      </x:c>
      <x:c r="L55" t="n">
        <x:v>-40.72554611</x:v>
      </x:c>
      <x:c r="M55" t="n">
        <x:v>150000</x:v>
      </x:c>
      <x:c r="N55" t="n">
        <x:v>3300</x:v>
      </x:c>
      <x:c r="O55" s="7" t="inlineStr">
        <x:is>
          <x:t xml:space="preserve">https://www.gov.br/anp/pt-br/centrais-de-conteudo/dados-abertos/fase-de-desenvolvimento-e-producao</x:t>
        </x:is>
      </x:c>
    </x:row>
    <x:row r="56">
      <x:c r="A56" t="inlineStr">
        <x:is>
          <x:t xml:space="preserve">P-76</x:t>
        </x:is>
      </x:c>
      <x:c r="B56" t="inlineStr">
        <x:is>
          <x:t xml:space="preserve">PETROBRAS 76</x:t>
        </x:is>
      </x:c>
      <x:c r="C56" t="inlineStr">
        <x:is>
          <x:t xml:space="preserve">BÚZIOS / BÚZIOS_ECO / TAMBUATÁ</x:t>
        </x:is>
      </x:c>
      <x:c r="D56" t="inlineStr">
        <x:is>
          <x:t xml:space="preserve">SANTOS</x:t>
        </x:is>
      </x:c>
      <x:c r="E56" t="inlineStr">
        <x:is>
          <x:t xml:space="preserve">PETRÓLEO BRASILEIRO S.A. - PETROBRAS</x:t>
        </x:is>
      </x:c>
      <x:c r="F56" t="inlineStr">
        <x:is>
          <x:t xml:space="preserve">Floating Production Storage Offloading - FPSO</x:t>
        </x:is>
      </x:c>
      <x:c r="G56" t="n">
        <x:v>2025</x:v>
      </x:c>
      <x:c r="H56" t="inlineStr">
        <x:is>
          <x:t xml:space="preserve">Navio Aliviador</x:t>
        </x:is>
      </x:c>
      <x:c r="I56" t="n">
        <x:v>2018</x:v>
      </x:c>
      <x:c r="J56">
        <x:f>I56+30</x:f>
        <x:v>2048</x:v>
      </x:c>
      <x:c r="K56" t="n">
        <x:v>-24.68898056</x:v>
      </x:c>
      <x:c r="L56" t="n">
        <x:v>-42.50583056</x:v>
      </x:c>
      <x:c r="M56" t="n">
        <x:v>169000</x:v>
      </x:c>
      <x:c r="N56" t="n">
        <x:v>7000</x:v>
      </x:c>
      <x:c r="O56" s="7" t="inlineStr">
        <x:is>
          <x:t xml:space="preserve">https://www.gov.br/anp/pt-br/centrais-de-conteudo/dados-abertos/fase-de-desenvolvimento-e-producao</x:t>
        </x:is>
      </x:c>
    </x:row>
    <x:row r="57">
      <x:c r="A57" t="inlineStr">
        <x:is>
          <x:t xml:space="preserve">P-75</x:t>
        </x:is>
      </x:c>
      <x:c r="B57" t="inlineStr">
        <x:is>
          <x:t xml:space="preserve">PETROBRAS 75</x:t>
        </x:is>
      </x:c>
      <x:c r="C57" t="inlineStr">
        <x:is>
          <x:t xml:space="preserve">BÚZIOS / BÚZIOS_ECO / TAMBUATÁ</x:t>
        </x:is>
      </x:c>
      <x:c r="D57" t="inlineStr">
        <x:is>
          <x:t xml:space="preserve">SANTOS</x:t>
        </x:is>
      </x:c>
      <x:c r="E57" t="inlineStr">
        <x:is>
          <x:t xml:space="preserve">PETRÓLEO BRASILEIRO S.A. - PETROBRAS</x:t>
        </x:is>
      </x:c>
      <x:c r="F57" t="inlineStr">
        <x:is>
          <x:t xml:space="preserve">Floating Production Storage Offloading - FPSO</x:t>
        </x:is>
      </x:c>
      <x:c r="G57" t="n">
        <x:v>2015</x:v>
      </x:c>
      <x:c r="H57" t="inlineStr">
        <x:is>
          <x:t xml:space="preserve">Navio Aliviador</x:t>
        </x:is>
      </x:c>
      <x:c r="I57" t="n">
        <x:v>2018</x:v>
      </x:c>
      <x:c r="J57">
        <x:f>I57+30</x:f>
        <x:v>2048</x:v>
      </x:c>
      <x:c r="K57" t="n">
        <x:v>-24.78901472</x:v>
      </x:c>
      <x:c r="L57" t="n">
        <x:v>-42.50973611</x:v>
      </x:c>
      <x:c r="M57" t="n">
        <x:v>169000</x:v>
      </x:c>
      <x:c r="N57" t="n">
        <x:v>7000</x:v>
      </x:c>
      <x:c r="O57" s="7" t="inlineStr">
        <x:is>
          <x:t xml:space="preserve">https://www.gov.br/anp/pt-br/centrais-de-conteudo/dados-abertos/fase-de-desenvolvimento-e-producao</x:t>
        </x:is>
      </x:c>
    </x:row>
    <x:row r="58">
      <x:c r="A58" t="inlineStr">
        <x:is>
          <x:t xml:space="preserve">P-74</x:t>
        </x:is>
      </x:c>
      <x:c r="B58" t="inlineStr">
        <x:is>
          <x:t xml:space="preserve">PETROBRAS 74</x:t>
        </x:is>
      </x:c>
      <x:c r="C58" t="inlineStr">
        <x:is>
          <x:t xml:space="preserve">BÚZIOS / BÚZIOS_ECO / TAMBUATÁ</x:t>
        </x:is>
      </x:c>
      <x:c r="D58" t="inlineStr">
        <x:is>
          <x:t xml:space="preserve">SANTOS</x:t>
        </x:is>
      </x:c>
      <x:c r="E58" t="inlineStr">
        <x:is>
          <x:t xml:space="preserve">PETRÓLEO BRASILEIRO S.A. - PETROBRAS</x:t>
        </x:is>
      </x:c>
      <x:c r="F58" t="inlineStr">
        <x:is>
          <x:t xml:space="preserve">Floating Production Storage Offloading - FPSO</x:t>
        </x:is>
      </x:c>
      <x:c r="G58" t="n">
        <x:v>1950</x:v>
      </x:c>
      <x:c r="H58" t="inlineStr">
        <x:is>
          <x:t xml:space="preserve">Navio Aliviador</x:t>
        </x:is>
      </x:c>
      <x:c r="I58" t="n">
        <x:v>2018</x:v>
      </x:c>
      <x:c r="J58">
        <x:f>I58+30</x:f>
        <x:v>2048</x:v>
      </x:c>
      <x:c r="K58" t="n">
        <x:v>-24.64806556</x:v>
      </x:c>
      <x:c r="L58" t="n">
        <x:v>-42.51781444</x:v>
      </x:c>
      <x:c r="M58" t="n">
        <x:v>154000</x:v>
      </x:c>
      <x:c r="N58" t="n">
        <x:v>7000</x:v>
      </x:c>
      <x:c r="O58" s="7" t="inlineStr">
        <x:is>
          <x:t xml:space="preserve">https://www.gov.br/anp/pt-br/centrais-de-conteudo/dados-abertos/fase-de-desenvolvimento-e-producao</x:t>
        </x:is>
      </x:c>
    </x:row>
    <x:row r="59">
      <x:c r="A59" t="inlineStr">
        <x:is>
          <x:t xml:space="preserve">P-69</x:t>
        </x:is>
      </x:c>
      <x:c r="B59" t="inlineStr">
        <x:is>
          <x:t xml:space="preserve">PETROBRAS 69</x:t>
        </x:is>
      </x:c>
      <x:c r="C59" t="inlineStr">
        <x:is>
          <x:t xml:space="preserve">AnC_TUPI / SUL DE TUPI / TUPI</x:t>
        </x:is>
      </x:c>
      <x:c r="D59" t="inlineStr">
        <x:is>
          <x:t xml:space="preserve">SANTOS</x:t>
        </x:is>
      </x:c>
      <x:c r="E59" t="inlineStr">
        <x:is>
          <x:t xml:space="preserve">PETRÓLEO BRASILEIRO S.A. - PETROBRAS</x:t>
        </x:is>
      </x:c>
      <x:c r="F59" t="inlineStr">
        <x:is>
          <x:t xml:space="preserve">Floating Production Storage Offloading - FPSO</x:t>
        </x:is>
      </x:c>
      <x:c r="G59" t="n">
        <x:v>2170</x:v>
      </x:c>
      <x:c r="H59" t="inlineStr">
        <x:is>
          <x:t xml:space="preserve">Navio Aliviador</x:t>
        </x:is>
      </x:c>
      <x:c r="I59" t="n">
        <x:v>2018</x:v>
      </x:c>
      <x:c r="J59">
        <x:f>I59+30</x:f>
        <x:v>2048</x:v>
      </x:c>
      <x:c r="K59" t="n">
        <x:v>-25.65792889</x:v>
      </x:c>
      <x:c r="L59" t="n">
        <x:v>-42.85944306</x:v>
      </x:c>
      <x:c r="M59" t="n">
        <x:v>173000</x:v>
      </x:c>
      <x:c r="N59" t="n">
        <x:v>6000</x:v>
      </x:c>
      <x:c r="O59" s="7" t="inlineStr">
        <x:is>
          <x:t xml:space="preserve">https://www.gov.br/anp/pt-br/centrais-de-conteudo/dados-abertos/fase-de-desenvolvimento-e-producao</x:t>
        </x:is>
      </x:c>
    </x:row>
    <x:row r="60">
      <x:c r="A60" t="inlineStr">
        <x:is>
          <x:t xml:space="preserve">P-67</x:t>
        </x:is>
      </x:c>
      <x:c r="B60" t="inlineStr">
        <x:is>
          <x:t xml:space="preserve">PETROBRAS 67</x:t>
        </x:is>
      </x:c>
      <x:c r="C60" t="inlineStr">
        <x:is>
          <x:t xml:space="preserve">AnC_TUPI / SUL DE TUPI / TUPI</x:t>
        </x:is>
      </x:c>
      <x:c r="D60" t="inlineStr">
        <x:is>
          <x:t xml:space="preserve">SANTOS</x:t>
        </x:is>
      </x:c>
      <x:c r="E60" t="inlineStr">
        <x:is>
          <x:t xml:space="preserve">PETRÓLEO BRASILEIRO S.A. - PETROBRAS</x:t>
        </x:is>
      </x:c>
      <x:c r="F60" t="inlineStr">
        <x:is>
          <x:t xml:space="preserve">Floating Production Storage Offloading - FPSO</x:t>
        </x:is>
      </x:c>
      <x:c r="G60" t="n">
        <x:v>2130</x:v>
      </x:c>
      <x:c r="H60" t="inlineStr">
        <x:is>
          <x:t xml:space="preserve">Navio Aliviador</x:t>
        </x:is>
      </x:c>
      <x:c r="I60" t="n">
        <x:v>2018</x:v>
      </x:c>
      <x:c r="J60">
        <x:f>I60+30</x:f>
        <x:v>2048</x:v>
      </x:c>
      <x:c r="K60" t="n">
        <x:v>-25.32987139</x:v>
      </x:c>
      <x:c r="L60" t="n">
        <x:v>-42.6926575</x:v>
      </x:c>
      <x:c r="M60" t="n">
        <x:v>150950</x:v>
      </x:c>
      <x:c r="N60" t="n">
        <x:v>6000</x:v>
      </x:c>
      <x:c r="O60" s="7" t="inlineStr">
        <x:is>
          <x:t xml:space="preserve">https://www.gov.br/anp/pt-br/centrais-de-conteudo/dados-abertos/fase-de-desenvolvimento-e-producao</x:t>
        </x:is>
      </x:c>
    </x:row>
    <x:row r="61">
      <x:c r="A61" t="inlineStr">
        <x:is>
          <x:t xml:space="preserve">P-77</x:t>
        </x:is>
      </x:c>
      <x:c r="B61" t="inlineStr">
        <x:is>
          <x:t xml:space="preserve">PETROBRAS 77</x:t>
        </x:is>
      </x:c>
      <x:c r="C61" t="inlineStr">
        <x:is>
          <x:t xml:space="preserve">BÚZIOS / BÚZIOS_ECO / TAMBUATÁ</x:t>
        </x:is>
      </x:c>
      <x:c r="D61" t="inlineStr">
        <x:is>
          <x:t xml:space="preserve">SANTOS</x:t>
        </x:is>
      </x:c>
      <x:c r="E61" t="inlineStr">
        <x:is>
          <x:t xml:space="preserve">PETRÓLEO BRASILEIRO S.A. - PETROBRAS</x:t>
        </x:is>
      </x:c>
      <x:c r="F61" t="inlineStr">
        <x:is>
          <x:t xml:space="preserve">Floating Production Storage Offloading - FPSO</x:t>
        </x:is>
      </x:c>
      <x:c r="G61" t="n">
        <x:v>1980</x:v>
      </x:c>
      <x:c r="H61" t="inlineStr">
        <x:is>
          <x:t xml:space="preserve">Navio Aliviador</x:t>
        </x:is>
      </x:c>
      <x:c r="I61" t="n">
        <x:v>2019</x:v>
      </x:c>
      <x:c r="J61">
        <x:f>I61+30</x:f>
        <x:v>2049</x:v>
      </x:c>
      <x:c r="K61" t="n">
        <x:v>-24.63649611</x:v>
      </x:c>
      <x:c r="L61" t="n">
        <x:v>-42.41198972</x:v>
      </x:c>
      <x:c r="M61" t="n">
        <x:v>169000</x:v>
      </x:c>
      <x:c r="N61" t="n">
        <x:v>7000</x:v>
      </x:c>
      <x:c r="O61" s="7" t="inlineStr">
        <x:is>
          <x:t xml:space="preserve">https://www.gov.br/anp/pt-br/centrais-de-conteudo/dados-abertos/fase-de-desenvolvimento-e-producao</x:t>
        </x:is>
      </x:c>
    </x:row>
    <x:row r="62">
      <x:c r="A62" t="inlineStr">
        <x:is>
          <x:t xml:space="preserve">P-70</x:t>
        </x:is>
      </x:c>
      <x:c r="B62" t="inlineStr">
        <x:is>
          <x:t xml:space="preserve">PETROBRAS 70</x:t>
        </x:is>
      </x:c>
      <x:c r="C62" t="inlineStr">
        <x:is>
          <x:t xml:space="preserve">AnC_NORTE_ATAPU / ATAPU / ATAPU_ECO / OESTE DE ATAPU</x:t>
        </x:is>
      </x:c>
      <x:c r="D62" t="inlineStr">
        <x:is>
          <x:t xml:space="preserve">SANTOS</x:t>
        </x:is>
      </x:c>
      <x:c r="E62" t="inlineStr">
        <x:is>
          <x:t xml:space="preserve">PETRÓLEO BRASILEIRO S.A. - PETROBRAS</x:t>
        </x:is>
      </x:c>
      <x:c r="F62" t="inlineStr">
        <x:is>
          <x:t xml:space="preserve">Floating Production Storage Offloading - FPSO</x:t>
        </x:is>
      </x:c>
      <x:c r="G62" t="n">
        <x:v>2288</x:v>
      </x:c>
      <x:c r="H62" t="inlineStr">
        <x:is>
          <x:t xml:space="preserve">Navio Aliviador</x:t>
        </x:is>
      </x:c>
      <x:c r="I62" t="n">
        <x:v>2020</x:v>
      </x:c>
      <x:c r="J62">
        <x:f>I62+30</x:f>
        <x:v>2050</x:v>
      </x:c>
      <x:c r="K62" t="n">
        <x:v>-24.95207056</x:v>
      </x:c>
      <x:c r="L62" t="n">
        <x:v>-42.46838</x:v>
      </x:c>
      <x:c r="M62" t="n">
        <x:v>161000</x:v>
      </x:c>
      <x:c r="N62" t="n">
        <x:v>6000</x:v>
      </x:c>
      <x:c r="O62" s="7" t="inlineStr">
        <x:is>
          <x:t xml:space="preserve">https://www.gov.br/anp/pt-br/centrais-de-conteudo/dados-abertos/fase-de-desenvolvimento-e-producao</x:t>
        </x:is>
      </x:c>
    </x:row>
    <x:row r="63">
      <x:c r="A63" t="inlineStr">
        <x:is>
          <x:t xml:space="preserve">WHPC</x:t>
        </x:is>
      </x:c>
      <x:c r="B63" t="inlineStr">
        <x:is>
          <x:t xml:space="preserve">PEREGRINO C</x:t>
        </x:is>
      </x:c>
      <x:c r="C63" t="inlineStr">
        <x:is>
          <x:t xml:space="preserve">PEREGRINO / PITANGOLA</x:t>
        </x:is>
      </x:c>
      <x:c r="D63" t="inlineStr">
        <x:is>
          <x:t xml:space="preserve">CAMPOS</x:t>
        </x:is>
      </x:c>
      <x:c r="E63" t="inlineStr">
        <x:is>
          <x:t xml:space="preserve">PRIO TIGRIS S.A</x:t>
        </x:is>
      </x:c>
      <x:c r="F63" t="inlineStr">
        <x:is>
          <x:t xml:space="preserve">Plataforma Fixa - Jaqueta</x:t>
        </x:is>
      </x:c>
      <x:c r="G63" t="n">
        <x:v>121</x:v>
      </x:c>
      <x:c r="H63" t="inlineStr">
        <x:is>
          <x:t xml:space="preserve">Duto</x:t>
        </x:is>
      </x:c>
      <x:c r="I63" t="n">
        <x:v>2021</x:v>
      </x:c>
      <x:c r="J63">
        <x:f>I63+30</x:f>
        <x:v>2051</x:v>
      </x:c>
      <x:c r="K63" t="n">
        <x:v>-23.34819333</x:v>
      </x:c>
      <x:c r="L63" t="n">
        <x:v>-41.40877444</x:v>
      </x:c>
      <x:c r="O63" s="7" t="inlineStr">
        <x:is>
          <x:t xml:space="preserve">https://www.gov.br/anp/pt-br/centrais-de-conteudo/dados-abertos/fase-de-desenvolvimento-e-producao</x:t>
        </x:is>
      </x:c>
    </x:row>
    <x:row r="64">
      <x:c r="A64" t="inlineStr">
        <x:is>
          <x:t xml:space="preserve">FPGNB</x:t>
        </x:is>
      </x:c>
      <x:c r="B64" t="inlineStr">
        <x:is>
          <x:t xml:space="preserve">FPSO GUANABARA</x:t>
        </x:is>
      </x:c>
      <x:c r="C64" t="inlineStr">
        <x:is>
          <x:t xml:space="preserve">AnC_MERO / MERO</x:t>
        </x:is>
      </x:c>
      <x:c r="D64" t="inlineStr">
        <x:is>
          <x:t xml:space="preserve">SANTOS</x:t>
        </x:is>
      </x:c>
      <x:c r="E64" t="inlineStr">
        <x:is>
          <x:t xml:space="preserve">PETRÓLEO BRASILEIRO S.A. - PETROBRAS</x:t>
        </x:is>
      </x:c>
      <x:c r="F64" t="inlineStr">
        <x:is>
          <x:t xml:space="preserve">Floating Production Storage Offloading - FPSO</x:t>
        </x:is>
      </x:c>
      <x:c r="G64" t="n">
        <x:v>1930</x:v>
      </x:c>
      <x:c r="H64" t="inlineStr">
        <x:is>
          <x:t xml:space="preserve">Navio Aliviador</x:t>
        </x:is>
      </x:c>
      <x:c r="I64" t="n">
        <x:v>2021</x:v>
      </x:c>
      <x:c r="J64">
        <x:f>I64+30</x:f>
        <x:v>2051</x:v>
      </x:c>
      <x:c r="K64" t="n">
        <x:v>-24.58365556</x:v>
      </x:c>
      <x:c r="L64" t="n">
        <x:v>-42.25626667</x:v>
      </x:c>
      <x:c r="M64" t="n">
        <x:v>190000</x:v>
      </x:c>
      <x:c r="N64" t="n">
        <x:v>12000</x:v>
      </x:c>
      <x:c r="O64" s="7" t="inlineStr">
        <x:is>
          <x:t xml:space="preserve">https://www.gov.br/anp/pt-br/centrais-de-conteudo/dados-abertos/fase-de-desenvolvimento-e-producao</x:t>
        </x:is>
      </x:c>
    </x:row>
    <x:row r="65">
      <x:c r="A65" t="inlineStr">
        <x:is>
          <x:t xml:space="preserve">FPSO_CRC</x:t>
        </x:is>
      </x:c>
      <x:c r="B65" t="inlineStr">
        <x:is>
          <x:t xml:space="preserve">FPSO CARIOCA</x:t>
        </x:is>
      </x:c>
      <x:c r="C65" t="inlineStr">
        <x:is>
          <x:t xml:space="preserve">SÉPIA / SÉPIA LESTE / SÉPIA_ECO</x:t>
        </x:is>
      </x:c>
      <x:c r="D65" t="inlineStr">
        <x:is>
          <x:t xml:space="preserve">SANTOS</x:t>
        </x:is>
      </x:c>
      <x:c r="E65" t="inlineStr">
        <x:is>
          <x:t xml:space="preserve">PETRÓLEO BRASILEIRO S.A. - PETROBRAS</x:t>
        </x:is>
      </x:c>
      <x:c r="F65" t="inlineStr">
        <x:is>
          <x:t xml:space="preserve">Floating Production Storage Offloading - FPSO</x:t>
        </x:is>
      </x:c>
      <x:c r="G65" t="n">
        <x:v>2140</x:v>
      </x:c>
      <x:c r="H65" t="inlineStr">
        <x:is>
          <x:t xml:space="preserve">Navio Aliviador</x:t>
        </x:is>
      </x:c>
      <x:c r="I65" t="n">
        <x:v>2021</x:v>
      </x:c>
      <x:c r="J65">
        <x:f>I65+30</x:f>
        <x:v>2051</x:v>
      </x:c>
      <x:c r="K65" t="n">
        <x:v>-25.22704306</x:v>
      </x:c>
      <x:c r="L65" t="n">
        <x:v>-42.5702525</x:v>
      </x:c>
      <x:c r="M65" t="n">
        <x:v>180000</x:v>
      </x:c>
      <x:c r="N65" t="n">
        <x:v>6091</x:v>
      </x:c>
      <x:c r="O65" s="7" t="inlineStr">
        <x:is>
          <x:t xml:space="preserve">https://www.gov.br/anp/pt-br/centrais-de-conteudo/dados-abertos/fase-de-desenvolvimento-e-producao</x:t>
        </x:is>
      </x:c>
    </x:row>
    <x:row r="66">
      <x:c r="A66" t="inlineStr">
        <x:is>
          <x:t xml:space="preserve">FPAGA</x:t>
        </x:is>
      </x:c>
      <x:c r="B66" t="inlineStr">
        <x:is>
          <x:t xml:space="preserve">FPSO ANITA GARIBALDI</x:t>
        </x:is>
      </x:c>
      <x:c r="C66" t="inlineStr">
        <x:is>
          <x:t xml:space="preserve">ESPADIM / MARLIM / MARLIM SUL / VOADOR</x:t>
        </x:is>
      </x:c>
      <x:c r="D66" t="inlineStr">
        <x:is>
          <x:t xml:space="preserve">CAMPOS</x:t>
        </x:is>
      </x:c>
      <x:c r="E66" t="inlineStr">
        <x:is>
          <x:t xml:space="preserve">PETRÓLEO BRASILEIRO S.A. - PETROBRAS</x:t>
        </x:is>
      </x:c>
      <x:c r="F66" t="inlineStr">
        <x:is>
          <x:t xml:space="preserve">Floating Production Storage Offloading - FPSO</x:t>
        </x:is>
      </x:c>
      <x:c r="G66" t="n">
        <x:v>670</x:v>
      </x:c>
      <x:c r="H66" t="inlineStr">
        <x:is>
          <x:t xml:space="preserve">Navio Aliviador e Duto</x:t>
        </x:is>
      </x:c>
      <x:c r="I66" t="n">
        <x:v>2023</x:v>
      </x:c>
      <x:c r="J66">
        <x:f>I66+30</x:f>
        <x:v>2053</x:v>
      </x:c>
      <x:c r="K66" t="n">
        <x:v>-22.39583639</x:v>
      </x:c>
      <x:c r="L66" t="n">
        <x:v>-40.10831417</x:v>
      </x:c>
      <x:c r="M66" t="n">
        <x:v>80000</x:v>
      </x:c>
      <x:c r="N66" t="n">
        <x:v>6622</x:v>
      </x:c>
      <x:c r="O66" s="7" t="inlineStr">
        <x:is>
          <x:t xml:space="preserve">https://www.gov.br/anp/pt-br/centrais-de-conteudo/dados-abertos/fase-de-desenvolvimento-e-producao</x:t>
        </x:is>
      </x:c>
    </x:row>
    <x:row r="67">
      <x:c r="A67" t="inlineStr">
        <x:is>
          <x:t xml:space="preserve">P-71</x:t>
        </x:is>
      </x:c>
      <x:c r="B67" t="inlineStr">
        <x:is>
          <x:t xml:space="preserve">PETROBRAS 71</x:t>
        </x:is>
      </x:c>
      <x:c r="C67" t="inlineStr">
        <x:is>
          <x:t xml:space="preserve">ITAPU / ITAPU_ECO</x:t>
        </x:is>
      </x:c>
      <x:c r="D67" t="inlineStr">
        <x:is>
          <x:t xml:space="preserve">SANTOS</x:t>
        </x:is>
      </x:c>
      <x:c r="E67" t="inlineStr">
        <x:is>
          <x:t xml:space="preserve">PETRÓLEO BRASILEIRO S.A. - PETROBRAS</x:t>
        </x:is>
      </x:c>
      <x:c r="F67" t="inlineStr">
        <x:is>
          <x:t xml:space="preserve">Floating Production Storage Offloading - FPSO</x:t>
        </x:is>
      </x:c>
      <x:c r="G67" t="n">
        <x:v>2010</x:v>
      </x:c>
      <x:c r="H67" t="inlineStr">
        <x:is>
          <x:t xml:space="preserve">Navio Aliviador</x:t>
        </x:is>
      </x:c>
      <x:c r="I67" t="n">
        <x:v>2023</x:v>
      </x:c>
      <x:c r="J67">
        <x:f>I67+30</x:f>
        <x:v>2053</x:v>
      </x:c>
      <x:c r="K67" t="n">
        <x:v>-24.777175</x:v>
      </x:c>
      <x:c r="L67" t="n">
        <x:v>-42.72058333</x:v>
      </x:c>
      <x:c r="M67" t="n">
        <x:v>150955</x:v>
      </x:c>
      <x:c r="N67" t="n">
        <x:v>6000</x:v>
      </x:c>
      <x:c r="O67" s="7" t="inlineStr">
        <x:is>
          <x:t xml:space="preserve">https://www.gov.br/anp/pt-br/centrais-de-conteudo/dados-abertos/fase-de-desenvolvimento-e-producao</x:t>
        </x:is>
      </x:c>
    </x:row>
    <x:row r="68">
      <x:c r="A68" t="inlineStr">
        <x:is>
          <x:t xml:space="preserve">FPSTB</x:t>
        </x:is>
      </x:c>
      <x:c r="B68" t="inlineStr">
        <x:is>
          <x:t xml:space="preserve">FPSO SEPETIBA</x:t>
        </x:is>
      </x:c>
      <x:c r="C68" t="inlineStr">
        <x:is>
          <x:t xml:space="preserve">AnC_MERO / MERO</x:t>
        </x:is>
      </x:c>
      <x:c r="D68" t="inlineStr">
        <x:is>
          <x:t xml:space="preserve">SANTOS</x:t>
        </x:is>
      </x:c>
      <x:c r="E68" t="inlineStr">
        <x:is>
          <x:t xml:space="preserve">PETRÓLEO BRASILEIRO S.A. - PETROBRAS</x:t>
        </x:is>
      </x:c>
      <x:c r="F68" t="inlineStr">
        <x:is>
          <x:t xml:space="preserve">Floating Production Storage Offloading - FPSO</x:t>
        </x:is>
      </x:c>
      <x:c r="G68" t="n">
        <x:v>2000</x:v>
      </x:c>
      <x:c r="H68" t="inlineStr">
        <x:is>
          <x:t xml:space="preserve">Navio Aliviador</x:t>
        </x:is>
      </x:c>
      <x:c r="I68" t="n">
        <x:v>2023</x:v>
      </x:c>
      <x:c r="J68">
        <x:f>I68+30</x:f>
        <x:v>2053</x:v>
      </x:c>
      <x:c r="K68" t="n">
        <x:v>-24.63081444</x:v>
      </x:c>
      <x:c r="L68" t="n">
        <x:v>-42.26445806</x:v>
      </x:c>
      <x:c r="M68" t="n">
        <x:v>190000</x:v>
      </x:c>
      <x:c r="N68" t="n">
        <x:v>12000</x:v>
      </x:c>
      <x:c r="O68" s="7" t="inlineStr">
        <x:is>
          <x:t xml:space="preserve">https://www.gov.br/anp/pt-br/centrais-de-conteudo/dados-abertos/fase-de-desenvolvimento-e-producao</x:t>
        </x:is>
      </x:c>
    </x:row>
    <x:row r="69">
      <x:c r="A69" t="inlineStr">
        <x:is>
          <x:t xml:space="preserve">FPBAR</x:t>
        </x:is>
      </x:c>
      <x:c r="B69" t="inlineStr">
        <x:is>
          <x:t xml:space="preserve">FPSO ALMIRANTE BARROSO</x:t>
        </x:is>
      </x:c>
      <x:c r="C69" t="inlineStr">
        <x:is>
          <x:t xml:space="preserve">BÚZIOS / BÚZIOS_ECO / TAMBUATÁ</x:t>
        </x:is>
      </x:c>
      <x:c r="D69" t="inlineStr">
        <x:is>
          <x:t xml:space="preserve">SANTOS</x:t>
        </x:is>
      </x:c>
      <x:c r="E69" t="inlineStr">
        <x:is>
          <x:t xml:space="preserve">PETRÓLEO BRASILEIRO S.A. - PETROBRAS</x:t>
        </x:is>
      </x:c>
      <x:c r="F69" t="inlineStr">
        <x:is>
          <x:t xml:space="preserve">Floating Production Storage Offloading - FPSO</x:t>
        </x:is>
      </x:c>
      <x:c r="G69" t="n">
        <x:v>1900</x:v>
      </x:c>
      <x:c r="H69" t="inlineStr">
        <x:is>
          <x:t xml:space="preserve">Navio Aliviador</x:t>
        </x:is>
      </x:c>
      <x:c r="I69" t="n">
        <x:v>2023</x:v>
      </x:c>
      <x:c r="J69">
        <x:f>I69+30</x:f>
        <x:v>2053</x:v>
      </x:c>
      <x:c r="K69" t="n">
        <x:v>-24.5925325</x:v>
      </x:c>
      <x:c r="L69" t="n">
        <x:v>-42.56725167</x:v>
      </x:c>
      <x:c r="M69" t="n">
        <x:v>173640</x:v>
      </x:c>
      <x:c r="N69" t="n">
        <x:v>6291</x:v>
      </x:c>
      <x:c r="O69" s="7" t="inlineStr">
        <x:is>
          <x:t xml:space="preserve">https://www.gov.br/anp/pt-br/centrais-de-conteudo/dados-abertos/fase-de-desenvolvimento-e-producao</x:t>
        </x:is>
      </x:c>
    </x:row>
    <x:row r="70">
      <x:c r="A70" t="inlineStr">
        <x:is>
          <x:t xml:space="preserve">FPANE</x:t>
        </x:is>
      </x:c>
      <x:c r="B70" t="inlineStr">
        <x:is>
          <x:t xml:space="preserve">FPSO ANNA NERY</x:t>
        </x:is>
      </x:c>
      <x:c r="C70" t="inlineStr">
        <x:is>
          <x:t xml:space="preserve">MARLIM / MARLIM SUL</x:t>
        </x:is>
      </x:c>
      <x:c r="D70" t="inlineStr">
        <x:is>
          <x:t xml:space="preserve">CAMPOS</x:t>
        </x:is>
      </x:c>
      <x:c r="E70" t="inlineStr">
        <x:is>
          <x:t xml:space="preserve">PETRÓLEO BRASILEIRO S.A. - PETROBRAS</x:t>
        </x:is>
      </x:c>
      <x:c r="F70" t="inlineStr">
        <x:is>
          <x:t xml:space="preserve">Floating Production Storage Offloading - FPSO</x:t>
        </x:is>
      </x:c>
      <x:c r="G70" t="n">
        <x:v>927</x:v>
      </x:c>
      <x:c r="H70" t="inlineStr">
        <x:is>
          <x:t xml:space="preserve">Navio Aliviador e Duto</x:t>
        </x:is>
      </x:c>
      <x:c r="I70" t="n">
        <x:v>2023</x:v>
      </x:c>
      <x:c r="J70">
        <x:f>I70+30</x:f>
        <x:v>2053</x:v>
      </x:c>
      <x:c r="K70" t="n">
        <x:v>-22.46391639</x:v>
      </x:c>
      <x:c r="L70" t="n">
        <x:v>-40.05731667</x:v>
      </x:c>
      <x:c r="M70" t="n">
        <x:v>70000</x:v>
      </x:c>
      <x:c r="N70" t="n">
        <x:v>3792</x:v>
      </x:c>
      <x:c r="O70" s="7" t="inlineStr">
        <x:is>
          <x:t xml:space="preserve">https://www.gov.br/anp/pt-br/centrais-de-conteudo/dados-abertos/fase-de-desenvolvimento-e-producao</x:t>
        </x:is>
      </x:c>
    </x:row>
    <x:row r="71">
      <x:c r="A71" t="inlineStr">
        <x:is>
          <x:t xml:space="preserve">FPSOATLANTA</x:t>
        </x:is>
      </x:c>
      <x:c r="B71" t="inlineStr">
        <x:is>
          <x:t xml:space="preserve">FPSO ATLANTA</x:t>
        </x:is>
      </x:c>
      <x:c r="C71" t="inlineStr">
        <x:is>
          <x:t xml:space="preserve">ATLANTA</x:t>
        </x:is>
      </x:c>
      <x:c r="D71" t="inlineStr">
        <x:is>
          <x:t xml:space="preserve">SANTOS</x:t>
        </x:is>
      </x:c>
      <x:c r="E71" t="inlineStr">
        <x:is>
          <x:t xml:space="preserve">BRAVA ENERGIA S.A.</x:t>
        </x:is>
      </x:c>
      <x:c r="F71" t="inlineStr">
        <x:is>
          <x:t xml:space="preserve">Floating Production Storage Offloading - FPSO</x:t>
        </x:is>
      </x:c>
      <x:c r="G71" t="n">
        <x:v>1550</x:v>
      </x:c>
      <x:c r="H71" t="inlineStr">
        <x:is>
          <x:t xml:space="preserve">Navio Aliviador</x:t>
        </x:is>
      </x:c>
      <x:c r="I71" t="n">
        <x:v>2024</x:v>
      </x:c>
      <x:c r="J71">
        <x:f>I71+30</x:f>
        <x:v>2054</x:v>
      </x:c>
      <x:c r="K71" t="n">
        <x:v>-24.09909722</x:v>
      </x:c>
      <x:c r="L71" t="n">
        <x:v>-41.88699167</x:v>
      </x:c>
      <x:c r="M71" t="n">
        <x:v>50000</x:v>
      </x:c>
      <x:c r="N71" t="n">
        <x:v>350</x:v>
      </x:c>
      <x:c r="O71" s="7" t="inlineStr">
        <x:is>
          <x:t xml:space="preserve">https://www.gov.br/anp/pt-br/centrais-de-conteudo/dados-abertos/fase-de-desenvolvimento-e-producao</x:t>
        </x:is>
      </x:c>
    </x:row>
    <x:row r="72">
      <x:c r="A72" t="inlineStr">
        <x:is>
          <x:t xml:space="preserve">FPMDC</x:t>
        </x:is>
      </x:c>
      <x:c r="B72" t="inlineStr">
        <x:is>
          <x:t xml:space="preserve">FPSO MARECHAL DUQUE DE CAXIAS</x:t>
        </x:is>
      </x:c>
      <x:c r="C72" t="inlineStr">
        <x:is>
          <x:t xml:space="preserve">AnC_MERO / MERO</x:t>
        </x:is>
      </x:c>
      <x:c r="D72" t="inlineStr">
        <x:is>
          <x:t xml:space="preserve">SANTOS</x:t>
        </x:is>
      </x:c>
      <x:c r="E72" t="inlineStr">
        <x:is>
          <x:t xml:space="preserve">PETRÓLEO BRASILEIRO S.A. - PETROBRAS</x:t>
        </x:is>
      </x:c>
      <x:c r="F72" t="inlineStr">
        <x:is>
          <x:t xml:space="preserve">Floating Production Storage Offloading - FPSO</x:t>
        </x:is>
      </x:c>
      <x:c r="G72" t="n">
        <x:v>2070</x:v>
      </x:c>
      <x:c r="H72" t="inlineStr">
        <x:is>
          <x:t xml:space="preserve">Navio Aliviador</x:t>
        </x:is>
      </x:c>
      <x:c r="I72" t="n">
        <x:v>2024</x:v>
      </x:c>
      <x:c r="J72">
        <x:f>I72+30</x:f>
        <x:v>2054</x:v>
      </x:c>
      <x:c r="K72" t="n">
        <x:v>-24.68622167</x:v>
      </x:c>
      <x:c r="L72" t="n">
        <x:v>-42.29323194</x:v>
      </x:c>
      <x:c r="M72" t="n">
        <x:v>200000</x:v>
      </x:c>
      <x:c r="N72" t="n">
        <x:v>13500</x:v>
      </x:c>
      <x:c r="O72" s="7" t="inlineStr">
        <x:is>
          <x:t xml:space="preserve">https://www.gov.br/anp/pt-br/centrais-de-conteudo/dados-abertos/fase-de-desenvolvimento-e-producao</x:t>
        </x:is>
      </x:c>
    </x:row>
    <x:row r="73">
      <x:c r="A73" t="inlineStr">
        <x:is>
          <x:t xml:space="preserve">FPSO BACALHAU</x:t>
        </x:is>
      </x:c>
      <x:c r="B73" t="inlineStr">
        <x:is>
          <x:t xml:space="preserve">FPSO BACALHAU</x:t>
        </x:is>
      </x:c>
      <x:c r="C73" t="inlineStr">
        <x:is>
          <x:t xml:space="preserve">BACALHAU / BACALHAU NORTE</x:t>
        </x:is>
      </x:c>
      <x:c r="D73" t="inlineStr">
        <x:is>
          <x:t xml:space="preserve">SANTOS</x:t>
        </x:is>
      </x:c>
      <x:c r="E73" t="inlineStr">
        <x:is>
          <x:t xml:space="preserve">EQUINOR BRASIL ENERGIA LTDA.</x:t>
        </x:is>
      </x:c>
      <x:c r="F73" t="inlineStr">
        <x:is>
          <x:t xml:space="preserve">Floating Production Storage Offloading - FPSO</x:t>
        </x:is>
      </x:c>
      <x:c r="G73" t="n">
        <x:v>2100</x:v>
      </x:c>
      <x:c r="H73" t="inlineStr">
        <x:is>
          <x:t xml:space="preserve">Navio Aliviador</x:t>
        </x:is>
      </x:c>
      <x:c r="I73" t="n">
        <x:v>2025</x:v>
      </x:c>
      <x:c r="J73">
        <x:f>I73+30</x:f>
        <x:v>2055</x:v>
      </x:c>
      <x:c r="K73" t="n">
        <x:v>-25.47606333</x:v>
      </x:c>
      <x:c r="L73" t="n">
        <x:v>-43.93906806</x:v>
      </x:c>
      <x:c r="M73" t="n">
        <x:v>220000</x:v>
      </x:c>
      <x:c r="N73" t="n">
        <x:v>15000</x:v>
      </x:c>
      <x:c r="O73" s="7" t="inlineStr">
        <x:is>
          <x:t xml:space="preserve">https://www.gov.br/anp/pt-br/centrais-de-conteudo/dados-abertos/fase-de-desenvolvimento-e-producao</x:t>
        </x:is>
      </x:c>
    </x:row>
    <x:row r="74">
      <x:c r="A74" t="inlineStr">
        <x:is>
          <x:t xml:space="preserve">FPADG</x:t>
        </x:is>
      </x:c>
      <x:c r="B74" t="inlineStr">
        <x:is>
          <x:t xml:space="preserve">FPSO ALEXANDRE DE GUSMÃO</x:t>
        </x:is>
      </x:c>
      <x:c r="C74" t="inlineStr">
        <x:is>
          <x:t xml:space="preserve">AnC_MERO / MERO</x:t>
        </x:is>
      </x:c>
      <x:c r="D74" t="inlineStr">
        <x:is>
          <x:t xml:space="preserve">SANTOS</x:t>
        </x:is>
      </x:c>
      <x:c r="E74" t="inlineStr">
        <x:is>
          <x:t xml:space="preserve">PETRÓLEO BRASILEIRO S.A. - PETROBRAS</x:t>
        </x:is>
      </x:c>
      <x:c r="F74" t="inlineStr">
        <x:is>
          <x:t xml:space="preserve">Floating Production Storage Offloading - FPSO</x:t>
        </x:is>
      </x:c>
      <x:c r="G74" t="n">
        <x:v>1890</x:v>
      </x:c>
      <x:c r="H74" t="inlineStr">
        <x:is>
          <x:t xml:space="preserve">Navio Aliviador</x:t>
        </x:is>
      </x:c>
      <x:c r="I74" t="n">
        <x:v>2025</x:v>
      </x:c>
      <x:c r="J74">
        <x:f>I74+30</x:f>
        <x:v>2055</x:v>
      </x:c>
      <x:c r="K74" t="n">
        <x:v>-24.55964917</x:v>
      </x:c>
      <x:c r="L74" t="n">
        <x:v>-42.18826083</x:v>
      </x:c>
      <x:c r="M74" t="n">
        <x:v>180000</x:v>
      </x:c>
      <x:c r="N74" t="n">
        <x:v>12000</x:v>
      </x:c>
      <x:c r="O74" s="7" t="inlineStr">
        <x:is>
          <x:t xml:space="preserve">https://www.gov.br/anp/pt-br/centrais-de-conteudo/dados-abertos/fase-de-desenvolvimento-e-producao</x:t>
        </x:is>
      </x:c>
    </x:row>
    <x:row r="75">
      <x:c r="A75" t="inlineStr">
        <x:is>
          <x:t xml:space="preserve">FPTAM</x:t>
        </x:is>
      </x:c>
      <x:c r="B75" t="inlineStr">
        <x:is>
          <x:t xml:space="preserve">FPSO ALMIRANTE TAMANDARE</x:t>
        </x:is>
      </x:c>
      <x:c r="C75" t="inlineStr">
        <x:is>
          <x:t xml:space="preserve">BÚZIOS / BÚZIOS_ECO / TAMBUATÁ</x:t>
        </x:is>
      </x:c>
      <x:c r="D75" t="inlineStr">
        <x:is>
          <x:t xml:space="preserve">SANTOS</x:t>
        </x:is>
      </x:c>
      <x:c r="E75" t="inlineStr">
        <x:is>
          <x:t xml:space="preserve">PETRÓLEO BRASILEIRO S.A. - PETROBRAS</x:t>
        </x:is>
      </x:c>
      <x:c r="F75" t="inlineStr">
        <x:is>
          <x:t xml:space="preserve">Floating Production Storage Offloading - FPSO</x:t>
        </x:is>
      </x:c>
      <x:c r="G75" t="n">
        <x:v>1985</x:v>
      </x:c>
      <x:c r="H75" t="inlineStr">
        <x:is>
          <x:t xml:space="preserve">Navio Aliviador</x:t>
        </x:is>
      </x:c>
      <x:c r="I75" t="n">
        <x:v>2025</x:v>
      </x:c>
      <x:c r="J75">
        <x:f>I75+30</x:f>
        <x:v>2055</x:v>
      </x:c>
      <x:c r="K75" t="n">
        <x:v>-24.74358333</x:v>
      </x:c>
      <x:c r="L75" t="n">
        <x:v>-42.51331944</x:v>
      </x:c>
      <x:c r="M75" t="n">
        <x:v>225000</x:v>
      </x:c>
      <x:c r="N75" t="n">
        <x:v>12000</x:v>
      </x:c>
      <x:c r="O75" s="7" t="inlineStr">
        <x:is>
          <x:t xml:space="preserve">https://www.gov.br/anp/pt-br/centrais-de-conteudo/dados-abertos/fase-de-desenvolvimento-e-producao</x:t>
        </x:is>
      </x:c>
    </x:row>
    <x:row r="76">
      <x:c r="A76" t="inlineStr">
        <x:is>
          <x:t xml:space="preserve">P-78</x:t>
        </x:is>
      </x:c>
      <x:c r="B76" t="inlineStr">
        <x:is>
          <x:t xml:space="preserve">PETROBRAS 78</x:t>
        </x:is>
      </x:c>
      <x:c r="C76" t="inlineStr">
        <x:is>
          <x:t xml:space="preserve">BÚZIOS / BÚZIOS_ECO / TAMBUATÁ</x:t>
        </x:is>
      </x:c>
      <x:c r="D76" t="inlineStr">
        <x:is>
          <x:t xml:space="preserve">SANTOS</x:t>
        </x:is>
      </x:c>
      <x:c r="E76" t="inlineStr">
        <x:is>
          <x:t xml:space="preserve">PETRÓLEO BRASILEIRO S.A. - PETROBRAS</x:t>
        </x:is>
      </x:c>
      <x:c r="F76" t="inlineStr">
        <x:is>
          <x:t xml:space="preserve">Floating Production Storage Offloading - FPSO</x:t>
        </x:is>
      </x:c>
      <x:c r="G76" t="n">
        <x:v>2030</x:v>
      </x:c>
      <x:c r="H76" t="inlineStr">
        <x:is>
          <x:t xml:space="preserve">Navio Aliviador e Duto</x:t>
        </x:is>
      </x:c>
      <x:c r="I76" t="n">
        <x:v>2025</x:v>
      </x:c>
      <x:c r="J76">
        <x:f>I76+30</x:f>
        <x:v>2055</x:v>
      </x:c>
      <x:c r="K76" t="n">
        <x:v>-24.68023944</x:v>
      </x:c>
      <x:c r="L76" t="n">
        <x:v>-42.38285028</x:v>
      </x:c>
      <x:c r="M76" t="n">
        <x:v>180000</x:v>
      </x:c>
      <x:c r="N76" t="n">
        <x:v>7200</x:v>
      </x:c>
      <x:c r="O76" s="7" t="inlineStr">
        <x:is>
          <x:t xml:space="preserve">https://www.gov.br/anp/pt-br/centrais-de-conteudo/dados-abertos/fase-de-desenvolvimento-e-producao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4" customWidth="1"/>
    <x:col min="3" max="3" width="22" customWidth="1"/>
    <x:col min="4" max="4" width="28" customWidth="1"/>
    <x:col min="5" max="5" width="32" customWidth="1"/>
    <x:col min="6" max="6" width="85" customWidth="1"/>
  </x:cols>
  <x:sheetData>
    <x:row r="1">
      <x:c r="A1" s="4" t="inlineStr">
        <x:is>
          <x:t xml:space="preserve">Tipo de mudança</x:t>
        </x:is>
      </x:c>
      <x:c r="B1" s="4" t="inlineStr">
        <x:is>
          <x:t xml:space="preserve">Sigla</x:t>
        </x:is>
      </x:c>
      <x:c r="C1" s="4" t="inlineStr">
        <x:is>
          <x:t xml:space="preserve">Campo alterado</x:t>
        </x:is>
      </x:c>
      <x:c r="D1" s="4" t="inlineStr">
        <x:is>
          <x:t xml:space="preserve">Valor na planilha original</x:t>
        </x:is>
      </x:c>
      <x:c r="E1" s="4" t="inlineStr">
        <x:is>
          <x:t xml:space="preserve">Valor na lista atual ANP</x:t>
        </x:is>
      </x:c>
      <x:c r="F1" s="4" t="inlineStr">
        <x:is>
          <x:t xml:space="preserve">Fonte</x:t>
        </x:is>
      </x:c>
    </x:row>
    <x:row r="2" ht="24" customHeight="1">
      <x:c r="A2" s="5" t="inlineStr">
        <x:is>
          <x:t xml:space="preserve">Removida da lista atual ANP</x:t>
        </x:is>
      </x:c>
      <x:c r="B2" s="5" t="inlineStr">
        <x:is>
          <x:t xml:space="preserve">FPMQT</x:t>
        </x:is>
      </x:c>
      <x:c r="C2" s="5" t="inlineStr">
        <x:is>
          <x:t xml:space="preserve">Plataforma / presença na lista</x:t>
        </x:is>
      </x:c>
      <x:c r="D2" s="5" t="inlineStr">
        <x:is>
          <x:t xml:space="preserve">FPSO MARIA QUITÉRIA</x:t>
        </x:is>
      </x:c>
      <x:c r="E2" s="5" t="inlineStr">
        <x:is>
          <x:t xml:space="preserve">Não consta na lista atual</x:t>
        </x:is>
      </x:c>
      <x:c r="F2" s="7" t="inlineStr">
        <x:is>
          <x:t xml:space="preserve">https://www.gov.br/anp/pt-br/centrais-de-conteudo/dados-abertos/fase-de-desenvolvimento-e-producao</x:t>
        </x:is>
      </x:c>
    </x:row>
    <x:row r="3" ht="24" customHeight="1">
      <x:c r="A3" s="5" t="inlineStr">
        <x:is>
          <x:t xml:space="preserve">Adicionada na lista atual ANP</x:t>
        </x:is>
      </x:c>
      <x:c r="B3" s="5" t="inlineStr">
        <x:is>
          <x:t xml:space="preserve">P-78</x:t>
        </x:is>
      </x:c>
      <x:c r="C3" s="5" t="inlineStr">
        <x:is>
          <x:t xml:space="preserve">Plataforma / presença na lista</x:t>
        </x:is>
      </x:c>
      <x:c r="D3" s="5" t="inlineStr">
        <x:is>
          <x:t xml:space="preserve">Não constava na planilha original</x:t>
        </x:is>
      </x:c>
      <x:c r="E3" s="5" t="inlineStr">
        <x:is>
          <x:t xml:space="preserve">PETROBRAS 78</x:t>
        </x:is>
      </x:c>
      <x:c r="F3" s="7" t="inlineStr">
        <x:is>
          <x:t xml:space="preserve">https://www.gov.br/anp/pt-br/centrais-de-conteudo/dados-abertos/fase-de-desenvolvimento-e-producao</x:t>
        </x:is>
      </x:c>
    </x:row>
    <x:row r="4" ht="24" customHeight="1">
      <x:c r="A4" s="5" t="inlineStr">
        <x:is>
          <x:t xml:space="preserve">Metadado atualizado</x:t>
        </x:is>
      </x:c>
      <x:c r="B4" s="5" t="inlineStr">
        <x:is>
          <x:t xml:space="preserve">FORTE</x:t>
        </x:is>
      </x:c>
      <x:c r="C4" s="5" t="inlineStr">
        <x:is>
          <x:t xml:space="preserve">Operador</x:t>
        </x:is>
      </x:c>
      <x:c r="D4" s="5" t="inlineStr">
        <x:is>
          <x:t xml:space="preserve">PETRO RIO JAGUAR PETRÓLEO SA.</x:t>
        </x:is>
      </x:c>
      <x:c r="E4" s="5" t="inlineStr">
        <x:is>
          <x:t xml:space="preserve">PRIO FORTE S.A.</x:t>
        </x:is>
      </x:c>
      <x:c r="F4" s="7" t="inlineStr">
        <x:is>
          <x:t xml:space="preserve">https://www.gov.br/anp/pt-br/centrais-de-conteudo/dados-abertos/fase-de-desenvolvimento-e-producao</x:t>
        </x:is>
      </x:c>
    </x:row>
    <x:row r="5" ht="24" customHeight="1">
      <x:c r="A5" s="5" t="inlineStr">
        <x:is>
          <x:t xml:space="preserve">Metadado atualizado</x:t>
        </x:is>
      </x:c>
      <x:c r="B5" s="5" t="inlineStr">
        <x:is>
          <x:t xml:space="preserve">PMNT</x:t>
        </x:is>
      </x:c>
      <x:c r="C5" s="5" t="inlineStr">
        <x:is>
          <x:t xml:space="preserve">Lâmina d’Água (m)</x:t>
        </x:is>
      </x:c>
      <x:c r="D5" s="5" t="n">
        <x:v>35</x:v>
      </x:c>
      <x:c r="E5" s="5" t="n">
        <x:v>37</x:v>
      </x:c>
      <x:c r="F5" s="7" t="inlineStr">
        <x:is>
          <x:t xml:space="preserve">https://www.gov.br/anp/pt-br/centrais-de-conteudo/dados-abertos/fase-de-desenvolvimento-e-producao</x:t>
        </x:is>
      </x:c>
    </x:row>
    <x:row r="6" ht="24" customHeight="1">
      <x:c r="A6" s="5" t="inlineStr">
        <x:is>
          <x:t xml:space="preserve">Metadado atualizado</x:t>
        </x:is>
      </x:c>
      <x:c r="B6" s="5" t="inlineStr">
        <x:is>
          <x:t xml:space="preserve">FRADE</x:t>
        </x:is>
      </x:c>
      <x:c r="C6" s="5" t="inlineStr">
        <x:is>
          <x:t xml:space="preserve">Operador</x:t>
        </x:is>
      </x:c>
      <x:c r="D6" s="5" t="inlineStr">
        <x:is>
          <x:t xml:space="preserve">PETRO RIO JAGUAR PETRÓLEO SA.</x:t>
        </x:is>
      </x:c>
      <x:c r="E6" s="5" t="inlineStr">
        <x:is>
          <x:t xml:space="preserve">PRIO FORTE S.A.</x:t>
        </x:is>
      </x:c>
      <x:c r="F6" s="7" t="inlineStr">
        <x:is>
          <x:t xml:space="preserve">https://www.gov.br/anp/pt-br/centrais-de-conteudo/dados-abertos/fase-de-desenvolvimento-e-producao</x:t>
        </x:is>
      </x:c>
    </x:row>
    <x:row r="7" ht="24" customHeight="1">
      <x:c r="A7" s="5" t="inlineStr">
        <x:is>
          <x:t xml:space="preserve">Metadado atualizado</x:t>
        </x:is>
      </x:c>
      <x:c r="B7" s="5" t="inlineStr">
        <x:is>
          <x:t xml:space="preserve">FPSO ESP SANTO</x:t>
        </x:is>
      </x:c>
      <x:c r="C7" s="5" t="inlineStr">
        <x:is>
          <x:t xml:space="preserve">Campo(s)</x:t>
        </x:is>
      </x:c>
      <x:c r="D7" s="5" t="inlineStr">
        <x:is>
          <x:t xml:space="preserve">ABALONE / ARGONAUTA / OSTRA</x:t>
        </x:is>
      </x:c>
      <x:c r="E7" s="5" t="inlineStr">
        <x:is>
          <x:t xml:space="preserve">ABALONE / AnC_ARGONAUTA_ME1 / ARGONAUTA / OSTRA</x:t>
        </x:is>
      </x:c>
      <x:c r="F7" s="7" t="inlineStr">
        <x:is>
          <x:t xml:space="preserve">https://www.gov.br/anp/pt-br/centrais-de-conteudo/dados-abertos/fase-de-desenvolvimento-e-producao</x:t>
        </x:is>
      </x:c>
    </x:row>
    <x:row r="8" ht="24" customHeight="1">
      <x:c r="A8" s="5" t="inlineStr">
        <x:is>
          <x:t xml:space="preserve">Metadado atualizado</x:t>
        </x:is>
      </x:c>
      <x:c r="B8" s="5" t="inlineStr">
        <x:is>
          <x:t xml:space="preserve">FPPL</x:t>
        </x:is>
      </x:c>
      <x:c r="C8" s="5" t="inlineStr">
        <x:is>
          <x:t xml:space="preserve">Lâmina d’Água (m)</x:t>
        </x:is>
      </x:c>
      <x:c r="D8" s="5" t="n">
        <x:v>2040</x:v>
      </x:c>
      <x:c r="E8" s="5" t="n">
        <x:v>1920</x:v>
      </x:c>
      <x:c r="F8" s="7" t="inlineStr">
        <x:is>
          <x:t xml:space="preserve">https://www.gov.br/anp/pt-br/centrais-de-conteudo/dados-abertos/fase-de-desenvolvimento-e-producao</x:t>
        </x:is>
      </x:c>
    </x:row>
    <x:row r="9" ht="24" customHeight="1">
      <x:c r="A9" s="5" t="inlineStr">
        <x:is>
          <x:t xml:space="preserve">Metadado atualizado</x:t>
        </x:is>
      </x:c>
      <x:c r="B9" s="5" t="inlineStr">
        <x:is>
          <x:t xml:space="preserve">FPSOATLANTA</x:t>
        </x:is>
      </x:c>
      <x:c r="C9" s="5" t="inlineStr">
        <x:is>
          <x:t xml:space="preserve">Operador</x:t>
        </x:is>
      </x:c>
      <x:c r="D9" s="5" t="inlineStr">
        <x:is>
          <x:t xml:space="preserve">ENAUTA ENERGIA S.A.</x:t>
        </x:is>
      </x:c>
      <x:c r="E9" s="5" t="inlineStr">
        <x:is>
          <x:t xml:space="preserve">BRAVA ENERGIA S.A.</x:t>
        </x:is>
      </x:c>
      <x:c r="F9" s="7" t="inlineStr">
        <x:is>
          <x:t xml:space="preserve">https://www.gov.br/anp/pt-br/centrais-de-conteudo/dados-abertos/fase-de-desenvolvimento-e-producao</x:t>
        </x:is>
      </x:c>
    </x:row>
  </x:sheetData>
  <x:pageMargins left="0.7" right="0.7" top="0.75" bottom="0.75" header="0.3" footer="0.3"/>
</x:worksheet>
</file>