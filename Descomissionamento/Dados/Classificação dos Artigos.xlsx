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aTex_Projects\Descomissionamento\Dados\"/>
    </mc:Choice>
  </mc:AlternateContent>
  <xr:revisionPtr revIDLastSave="0" documentId="13_ncr:1_{8C60AD3F-98BD-4911-A7CA-1D8E4D303D1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iblioteca_R1_R4" sheetId="1" r:id="rId1"/>
    <sheet name="Itens_priorizados" sheetId="2" r:id="rId2"/>
    <sheet name="Resumo" sheetId="3" r:id="rId3"/>
    <sheet name="Legend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3" i="3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Q13" i="2"/>
  <c r="P13" i="2"/>
  <c r="Q12" i="2"/>
  <c r="P12" i="2"/>
  <c r="Q11" i="2"/>
  <c r="P11" i="2"/>
  <c r="Q10" i="2"/>
  <c r="P10" i="2"/>
  <c r="Q9" i="2"/>
  <c r="P9" i="2"/>
  <c r="Q8" i="2"/>
  <c r="P8" i="2"/>
  <c r="Q7" i="2"/>
  <c r="P7" i="2"/>
  <c r="Q6" i="2"/>
  <c r="P6" i="2"/>
  <c r="Q5" i="2"/>
  <c r="P5" i="2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B6" i="3" s="1"/>
  <c r="P6" i="1"/>
  <c r="Q5" i="1"/>
  <c r="P5" i="1"/>
  <c r="B7" i="3" l="1"/>
  <c r="B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R1 = aderência ao recorte do capítulo. 3 = alta; 2 = média/parcial; 1 = periférica.</t>
        </r>
      </text>
    </comment>
    <comment ref="L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R1 = aderência ao recorte do capítulo. 3 = alta; 2 = média/parcial; 1 = periférica.</t>
        </r>
      </text>
    </comment>
  </commentList>
</comments>
</file>

<file path=xl/sharedStrings.xml><?xml version="1.0" encoding="utf-8"?>
<sst xmlns="http://schemas.openxmlformats.org/spreadsheetml/2006/main" count="537" uniqueCount="201">
  <si>
    <t>Classificação preliminar feita a partir de título, resumo, palavras-chave e metadados do arquivo .ris. Útil para triagem; não substitui leitura integral.</t>
  </si>
  <si>
    <t>ID</t>
  </si>
  <si>
    <t>Tipo RIS</t>
  </si>
  <si>
    <t>Ano</t>
  </si>
  <si>
    <t>Referência curta</t>
  </si>
  <si>
    <t>Título</t>
  </si>
  <si>
    <t>Autores</t>
  </si>
  <si>
    <t>Fonte / veículo</t>
  </si>
  <si>
    <t>DOI / URL</t>
  </si>
  <si>
    <t>Geografia inferida</t>
  </si>
  <si>
    <t>Escopo técnico</t>
  </si>
  <si>
    <t>R1</t>
  </si>
  <si>
    <t>R1 — justificativa</t>
  </si>
  <si>
    <t>R2 — tipo de evidência</t>
  </si>
  <si>
    <t>R4 — utilidade no capítulo</t>
  </si>
  <si>
    <t>Considerações</t>
  </si>
  <si>
    <t>Conferir cadastro?</t>
  </si>
  <si>
    <t>Prioridade</t>
  </si>
  <si>
    <t>CONF</t>
  </si>
  <si>
    <t>Passos &amp; de Aguiar</t>
  </si>
  <si>
    <t>Decarbonization in Offshore Services: A Study on Efficiency and Emissions Reduction</t>
  </si>
  <si>
    <t>Passos, R. B.; de Aguiar, R. B.</t>
  </si>
  <si>
    <t>onepetro.org</t>
  </si>
  <si>
    <t>https://dx.doi.org/10.4043/35367-MS</t>
  </si>
  <si>
    <t>Brasil</t>
  </si>
  <si>
    <t>Ativos subsea</t>
  </si>
  <si>
    <t>Tema adjacente; não trata do núcleo do descomissionamento offshore de plataformas/subsea/pipelines.</t>
  </si>
  <si>
    <t>Conferência</t>
  </si>
  <si>
    <t>EA / CT</t>
  </si>
  <si>
    <t>Muito útil para o contexto brasileiro. Ajuda bastante na parte de ativos subsea. Serve como porta de entrada do estado da arte.</t>
  </si>
  <si>
    <t>ELEC</t>
  </si>
  <si>
    <t>Discussing decommissioning Offshore Production ...</t>
  </si>
  <si>
    <t>Discussing decommissioning Offshore Production Installations - Google Acadêmico</t>
  </si>
  <si>
    <t/>
  </si>
  <si>
    <t>https://scholar.google.com/scholar?start=30&amp;q=Discussing+decommissioning+Offshore+Production+Installations&amp;hl=pt-BR&amp;as_sdt=0,5&amp;scilib=1</t>
  </si>
  <si>
    <t>Internacional / não explícito</t>
  </si>
  <si>
    <t>Plataformas / instalações offshore</t>
  </si>
  <si>
    <t>Entrada do RIS parece ser um resultado do Google Scholar, não a referência bibliográfica final.</t>
  </si>
  <si>
    <t>Recurso web / metadado incompleto</t>
  </si>
  <si>
    <t>CT</t>
  </si>
  <si>
    <t>Cadastro do RIS incompleto; convém completar autores, ano e veículo antes da versão final. Este item parece ser apenas página intermediária/resultado de busca.</t>
  </si>
  <si>
    <t>JOUR</t>
  </si>
  <si>
    <t>Hiremath et al. (2016)</t>
  </si>
  <si>
    <t>Development of ship-specific recycling plan to improve health safety and environment in ship recycling yards</t>
  </si>
  <si>
    <t>Hiremath, Anand M.; Pandey, Sachin Kumar; Asolekar, Shyam R.</t>
  </si>
  <si>
    <t>Journal of Cleaner Production</t>
  </si>
  <si>
    <t>https://doi.org/10.1016/j.jclepro.2016.01.006</t>
  </si>
  <si>
    <t>Índia</t>
  </si>
  <si>
    <t>Navios / embarcações</t>
  </si>
  <si>
    <t>Artigo</t>
  </si>
  <si>
    <t>CR / D</t>
  </si>
  <si>
    <t>Bom candidato para comparação regulatória. Pode apoiar discussão de risco e confiabilidade humana. Use só como analogia de reciclagem/HSE, não como eixo do capítulo.</t>
  </si>
  <si>
    <t>Du et al. (2018)</t>
  </si>
  <si>
    <t>Hazardous materials analysis and disposal procedures during ship recycling</t>
  </si>
  <si>
    <t>Du, Zunfeng; Zhang, Sen; Zhou, Qingji; Yuen, Kum Fai; Wong, Yiik Diew</t>
  </si>
  <si>
    <t>Resources, Conservation and Recycling</t>
  </si>
  <si>
    <t>https://doi.org/10.1016/j.resconrec.2018.01.006</t>
  </si>
  <si>
    <t>Use só como analogia de reciclagem/HSE, não como eixo do capítulo.</t>
  </si>
  <si>
    <t>Fam et al. (2021)</t>
  </si>
  <si>
    <t>Data learning and expert judgment in a Bayesian belief network for aiding human reliability assessment in offshore decommissioning risk assessment</t>
  </si>
  <si>
    <t>Fam, Mei Ling; Konovessis, Dimitrios; He, XuHong; Ong, Lin Seng</t>
  </si>
  <si>
    <t>Journal of Ocean Engineering and Science</t>
  </si>
  <si>
    <t>https://doi.org/10.1016/j.joes.2020.09.001</t>
  </si>
  <si>
    <t>Geral offshore</t>
  </si>
  <si>
    <t>Relevante para descomissionamento offshore, mas sem aderência total ao recorte específico.</t>
  </si>
  <si>
    <t>M</t>
  </si>
  <si>
    <t>Pode apoiar discussão de risco e confiabilidade humana.</t>
  </si>
  <si>
    <t>Frontiers | Benthic Conservation Features and S...</t>
  </si>
  <si>
    <t>Frontiers | Benthic Conservation Features and Species Associated With Subsea Pipelines: Considerations for Decommissioning</t>
  </si>
  <si>
    <t>https://www.frontiersin.org/journals/marine-science/articles/10.3389/fmars.2019.00200/full</t>
  </si>
  <si>
    <t>Pipelines / flowlines</t>
  </si>
  <si>
    <t>Ligação direta com descomissionamento offshore e com o recorte técnico/regulatório do capítulo.</t>
  </si>
  <si>
    <t>Relevante para dutos/flowlines e opções leave-in-situ versus remoção. Cadastro do RIS incompleto; convém completar autores, ano e veículo antes da versão final.</t>
  </si>
  <si>
    <t>Yellice &amp; ULiège &gt; (2018)</t>
  </si>
  <si>
    <t>Towards a Decision Tool for Decommissioning of Sub Sea Assets of Oil-Gas Platforms in Brazil</t>
  </si>
  <si>
    <t>Yellice, Semih; ULiège &gt;, Université de Liège-</t>
  </si>
  <si>
    <t>matheo.uliege.be</t>
  </si>
  <si>
    <t>https://matheo.uliege.be/handle/2268.2/6081</t>
  </si>
  <si>
    <t>Tese / dissertação</t>
  </si>
  <si>
    <t>Muito útil para o contexto brasileiro. Ajuda bastante na parte de ativos subsea. Bom candidato para comparação regulatória. Útil para método ou matriz decisória.</t>
  </si>
  <si>
    <t>Enhancing Sustainability Using Multi-Criteria D...</t>
  </si>
  <si>
    <t>Enhancing Sustainability Using Multi-Criteria Decision Making in Subsea Decommissioning | OTC Offshore Technology Conference | OnePetro</t>
  </si>
  <si>
    <t>https://onepetro.org/OTCONF/proceedings-abstract/24OTC/3-24OTC/D031S039R001/544853</t>
  </si>
  <si>
    <t>Ajuda bastante na parte de ativos subsea. Útil para método ou matriz decisória. Cadastro do RIS incompleto; convém completar autores, ano e veículo antes da versão final.</t>
  </si>
  <si>
    <t>Decommissioning of Subsea Facilities | Springer...</t>
  </si>
  <si>
    <t>Decommissioning of Subsea Facilities | Springer Nature Link</t>
  </si>
  <si>
    <t>https://link.springer.com/rwe/10.1007/978-981-10-6946-8_169</t>
  </si>
  <si>
    <t>Ajuda bastante na parte de ativos subsea. Cadastro do RIS incompleto; convém completar autores, ano e veículo antes da versão final.</t>
  </si>
  <si>
    <t>ANALYSING THE LEGAL AND REGULATORY FRAMEWORK FO...</t>
  </si>
  <si>
    <t>ANALYSING THE LEGAL AND REGULATORY FRAMEWORK FOR DECOMMISSIONING OFFSHORE PLATFORMS: A COMPARISON BETWEEN BRAZIL (BR) AND THE UNITED KINGDOM (UK) - ProQuest</t>
  </si>
  <si>
    <t>https://www.proquest.com/openview/d23ebf3711d4d75a601eda81955810a1/1?pq-origsite=gscholar&amp;cbl=2031968</t>
  </si>
  <si>
    <t>Muito útil para o contexto brasileiro. Bom candidato para comparação regulatória. Cadastro do RIS incompleto; convém completar autores, ano e veículo antes da versão final.</t>
  </si>
  <si>
    <t>RPRT</t>
  </si>
  <si>
    <t>Ruivo (2001)</t>
  </si>
  <si>
    <t>Descomissionamento de sistemas de produção offshore</t>
  </si>
  <si>
    <t>Ruivo, Fabio de Moraes</t>
  </si>
  <si>
    <t>repositorio.unicamp.br</t>
  </si>
  <si>
    <t>http://repositorio.unicamp.br/acervo/detalhe/225364</t>
  </si>
  <si>
    <t>Obra diretamente focada em descomissionamento de sistemas de produção offshore.</t>
  </si>
  <si>
    <t>Dissertação / relatório</t>
  </si>
  <si>
    <t>Item de apoio útil; a utilidade exata depende da profundidade que você der ao tema no capítulo.</t>
  </si>
  <si>
    <t>Terminal RI - Sophia Biblioteca Web</t>
  </si>
  <si>
    <t>Registro de catálogo/repositório, não a obra bibliográfica em si.</t>
  </si>
  <si>
    <t>Manouchehri (2017)</t>
  </si>
  <si>
    <t>Subsea Pipelines and Flowlines Decommissioning: What We Should Know for a Rational Approach</t>
  </si>
  <si>
    <t>Manouchehri, Soheil</t>
  </si>
  <si>
    <t>asmedigitalcollection.asme.org</t>
  </si>
  <si>
    <t>https://doi.org/10.1115/OMAE2017-61239</t>
  </si>
  <si>
    <t>Relevante para dutos/flowlines e opções leave-in-situ versus remoção. Bom candidato para comparação regulatória.</t>
  </si>
  <si>
    <t>Rouse et al. (2018)</t>
  </si>
  <si>
    <t>Offshore pipeline decommissioning: Scale and context</t>
  </si>
  <si>
    <t>Rouse, Sally; Hayes, Peter; Davies, Ian M.; Wilding, Thomas A.</t>
  </si>
  <si>
    <t>Marine Pollution Bulletin</t>
  </si>
  <si>
    <t>https://doi.org/10.1016/j.marpolbul.2018.02.041</t>
  </si>
  <si>
    <t>Mar do Norte</t>
  </si>
  <si>
    <t>Bom para comparação com o Mar do Norte. Relevante para dutos/flowlines e opções leave-in-situ versus remoção.</t>
  </si>
  <si>
    <t>Market Dynamics and Opportunities in Decommissi...</t>
  </si>
  <si>
    <t>Market Dynamics and Opportunities in Decommissioning in Brazil | Offshore Technology Conference Brasil | OnePetro</t>
  </si>
  <si>
    <t>https://onepetro.org/OTCBRASIL/proceedings-abstract/25OTCB/25OTCB/792308</t>
  </si>
  <si>
    <t>Muito útil para o contexto brasileiro. Cadastro do RIS incompleto; convém completar autores, ano e veículo antes da versão final.</t>
  </si>
  <si>
    <t>A New Multi-Criteria Decision-Making Tool for S...</t>
  </si>
  <si>
    <t>A New Multi-Criteria Decision-Making Tool for Subsea Oil and Gas Asset Decommissioning | J. Offshore Mech. Arct. Eng. | ASME Digital Collection</t>
  </si>
  <si>
    <t>https://asmedigitalcollection.asme.org/offshoremechanics/article-abstract/147/5/051401/1210902/A-New-Multi-Criteria-Decision-Making-Tool-for</t>
  </si>
  <si>
    <t>Decommissioning Pipelines and Subsea Equipment:...</t>
  </si>
  <si>
    <t>Decommissioning Pipelines and Subsea Equipment: Legislative Issue...: Ingenta Connect</t>
  </si>
  <si>
    <t>https://www.ingentaconnect.com/content/sut/unwt/2002/00000025/00000002/art00012</t>
  </si>
  <si>
    <t>Relevante para dutos/flowlines e opções leave-in-situ versus remoção. Bom candidato para comparação regulatória. Cadastro do RIS incompleto; convém completar autores, ano e veículo antes da versão final.</t>
  </si>
  <si>
    <t>Marchetti et al. (2025)</t>
  </si>
  <si>
    <t>Energy Implications and Environmental Analysis of Oil Rigs Decommissioning Options Using LCA Methodology</t>
  </si>
  <si>
    <t>Marchetti, Barbara; Corvaro, Francesco; Rossi, Marta</t>
  </si>
  <si>
    <t>Energies</t>
  </si>
  <si>
    <t>https://doi.org/10.3390/en18133372</t>
  </si>
  <si>
    <t>Bom para trade-offs energéticos e ambientais.</t>
  </si>
  <si>
    <t>Zawawi et al. (2023)</t>
  </si>
  <si>
    <t>Environmental Sustainability and Efficiency of Offshore Platform Decommissioning: A Review</t>
  </si>
  <si>
    <t>Zawawi, Noor Amila Wan Abdullah; Danyaro, Kamaluddeen Usman; Liew, M. S.; Shawn, Lim Eu</t>
  </si>
  <si>
    <t>Sustainability</t>
  </si>
  <si>
    <t>https://doi.org/10.3390/su151712757</t>
  </si>
  <si>
    <t>Malásia</t>
  </si>
  <si>
    <t>Revisão</t>
  </si>
  <si>
    <t>Ajuda bastante na parte de ativos subsea. Serve como porta de entrada do estado da arte.</t>
  </si>
  <si>
    <t>CHAP</t>
  </si>
  <si>
    <t>Efthymiou (2022)</t>
  </si>
  <si>
    <t>Decommissioning of Offshore Oil and Gas Installations</t>
  </si>
  <si>
    <t>Efthymiou, Mike</t>
  </si>
  <si>
    <t>Encyclopedia of Ocean Engineering</t>
  </si>
  <si>
    <t>https://link.springer.com/rwe/10.1007/978-981-10-6946-8_230</t>
  </si>
  <si>
    <t>Capítulo</t>
  </si>
  <si>
    <t>D / CT</t>
  </si>
  <si>
    <t>Ruivo &amp; Morooka</t>
  </si>
  <si>
    <t>DISCUSSING DECOMMISSIONING OFFSHORE PRODUCTION INSTALLATIONS</t>
  </si>
  <si>
    <t>Ruivo, F. M.; Morooka, C. K.</t>
  </si>
  <si>
    <t>https://dx.doi.org/</t>
  </si>
  <si>
    <t>Muito útil para o contexto brasileiro. Bom para comparação com o Mar do Norte. Serve como porta de entrada do estado da arte.</t>
  </si>
  <si>
    <t>Itens priorizados (R1 ≥ 2)</t>
  </si>
  <si>
    <t>Subset da biblioteca com aderência alta ou média ao recorte do capítulo.</t>
  </si>
  <si>
    <t>Resumo da triagem</t>
  </si>
  <si>
    <t>Métrica</t>
  </si>
  <si>
    <t>Valor</t>
  </si>
  <si>
    <t>Leitura</t>
  </si>
  <si>
    <t>Total de registros</t>
  </si>
  <si>
    <t>Todos os itens extraídos do .ris</t>
  </si>
  <si>
    <t>Prioridade alta</t>
  </si>
  <si>
    <t>Núcleo provável do capítulo</t>
  </si>
  <si>
    <t>Prioridade média</t>
  </si>
  <si>
    <t>Apoio analítico/comparativo</t>
  </si>
  <si>
    <t>Prioridade baixa</t>
  </si>
  <si>
    <t>Periféricos ao recorte</t>
  </si>
  <si>
    <t>Cadastros a conferir</t>
  </si>
  <si>
    <t>Registros web/proxy ou metadados incompletos</t>
  </si>
  <si>
    <t>Nota</t>
  </si>
  <si>
    <t>Vários registros do RIS vieram como páginas web (ELEC) ou páginas intermediárias. Eles foram mantidos na planilha, mas marcados para conferência.</t>
  </si>
  <si>
    <t>Sugestão</t>
  </si>
  <si>
    <t>Para versão final da revisão, vale normalizar autores, ano, veículo e DOI especialmente nos itens marcados com 'Conferir cadastro? = Sim'.</t>
  </si>
  <si>
    <t>Legenda R1–R4</t>
  </si>
  <si>
    <t>Campo</t>
  </si>
  <si>
    <t>Significado</t>
  </si>
  <si>
    <t>Uso típico no capítulo</t>
  </si>
  <si>
    <t>3</t>
  </si>
  <si>
    <t>Alta aderência</t>
  </si>
  <si>
    <t>Núcleo da revisão; ler e citar primeiro</t>
  </si>
  <si>
    <t>2</t>
  </si>
  <si>
    <t>Aderência parcial</t>
  </si>
  <si>
    <t>Apoio, comparação, método ou contexto</t>
  </si>
  <si>
    <t>1</t>
  </si>
  <si>
    <t>Periférico</t>
  </si>
  <si>
    <t>Só entra se agregar uma analogia ou contexto lateral</t>
  </si>
  <si>
    <t>R2</t>
  </si>
  <si>
    <t>Artigo / Revisão / Capítulo / Conferência / Dissertação / Recurso web</t>
  </si>
  <si>
    <t>Tipo de evidência</t>
  </si>
  <si>
    <t>Ajuda a decidir peso bibliográfico</t>
  </si>
  <si>
    <t>R4</t>
  </si>
  <si>
    <t>Comparação regulatória / definição</t>
  </si>
  <si>
    <t>Brasil, Reino Unido, enquadramento normativo</t>
  </si>
  <si>
    <t>Método</t>
  </si>
  <si>
    <t>MCDA, risco, LCA, ferramentas decisórias</t>
  </si>
  <si>
    <t>Evidência ambiental / contexto teórico</t>
  </si>
  <si>
    <t>Sustentabilidade, bentos, trade-offs, estado da arte</t>
  </si>
  <si>
    <t>Definição / contexto teórico</t>
  </si>
  <si>
    <t>Capítulos introdutórios e enciclopédicos</t>
  </si>
  <si>
    <t>Biblioteca — Classifiicação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</si>
</sst>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i/>
      <sz val="10"/>
      <color rgb="FF666666"/>
      <name val="Calibri"/>
    </font>
    <font>
      <b/>
      <sz val="11"/>
      <color rgb="FFFFFFFF"/>
      <name val="Calibri"/>
    </font>
    <font>
      <u/>
      <sz val="11"/>
      <color rgb="FF0563C1"/>
      <name val="Calibri"/>
    </font>
    <font>
      <b/>
      <sz val="11"/>
      <name val="Calibri"/>
    </font>
    <font>
      <b/>
      <sz val="13"/>
      <color rgb="FFFFFFFF"/>
      <name val="Calibri"/>
    </font>
    <font>
      <b/>
      <sz val="11"/>
      <color theme="1"/>
      <name val="Calibri"/>
      <family val="2"/>
      <scheme val="minor"/>
    </font>
    <font>
      <b/>
      <i/>
      <sz val="10"/>
      <color rgb="FF666666"/>
      <name val="Calibri"/>
      <family val="2"/>
    </font>
    <font>
      <b/>
      <sz val="14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DE9E7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2" fillId="2" borderId="0" xfId="0" applyFont="1" applyFill="1"/>
    <xf numFmtId="0" fontId="4" fillId="5" borderId="0" xfId="0" applyFont="1" applyFill="1"/>
    <xf numFmtId="0" fontId="4" fillId="0" borderId="0" xfId="0" applyFont="1"/>
    <xf numFmtId="0" fontId="0" fillId="0" borderId="0" xfId="0"/>
    <xf numFmtId="0" fontId="1" fillId="0" borderId="0" xfId="0" applyFont="1" applyAlignment="1">
      <alignment wrapText="1"/>
    </xf>
    <xf numFmtId="0" fontId="5" fillId="2" borderId="0" xfId="0" applyFont="1" applyFill="1" applyAlignment="1">
      <alignment horizontal="center"/>
    </xf>
    <xf numFmtId="0" fontId="7" fillId="0" borderId="0" xfId="0" applyFont="1" applyAlignment="1">
      <alignment vertical="center" wrapText="1"/>
    </xf>
    <xf numFmtId="0" fontId="6" fillId="0" borderId="0" xfId="0" applyFont="1"/>
    <xf numFmtId="0" fontId="8" fillId="2" borderId="0" xfId="0" applyFont="1" applyFill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762000</xdr:colOff>
      <xdr:row>14</xdr:row>
      <xdr:rowOff>243840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C18F71E8-6B50-1AFE-9B99-78860F657B0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762000</xdr:colOff>
      <xdr:row>14</xdr:row>
      <xdr:rowOff>243840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14CB4CCB-3AAF-2546-F90E-92062AD62F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762000</xdr:colOff>
      <xdr:row>14</xdr:row>
      <xdr:rowOff>243840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ECCA8965-44CE-B98B-DE35-DCF43FB3FD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bliotecaR1R4" displayName="BibliotecaR1R4" ref="A4:Q25">
  <autoFilter ref="A4:Q25" xr:uid="{00000000-0009-0000-0100-000001000000}"/>
  <tableColumns count="17">
    <tableColumn id="1" xr3:uid="{00000000-0010-0000-0000-000001000000}" name="ID"/>
    <tableColumn id="2" xr3:uid="{00000000-0010-0000-0000-000002000000}" name="Tipo RIS"/>
    <tableColumn id="3" xr3:uid="{00000000-0010-0000-0000-000003000000}" name="Ano"/>
    <tableColumn id="4" xr3:uid="{00000000-0010-0000-0000-000004000000}" name="Referência curta"/>
    <tableColumn id="5" xr3:uid="{00000000-0010-0000-0000-000005000000}" name="Título"/>
    <tableColumn id="6" xr3:uid="{00000000-0010-0000-0000-000006000000}" name="Autores"/>
    <tableColumn id="7" xr3:uid="{00000000-0010-0000-0000-000007000000}" name="Fonte / veículo"/>
    <tableColumn id="8" xr3:uid="{00000000-0010-0000-0000-000008000000}" name="DOI / URL"/>
    <tableColumn id="9" xr3:uid="{00000000-0010-0000-0000-000009000000}" name="Geografia inferida"/>
    <tableColumn id="10" xr3:uid="{00000000-0010-0000-0000-00000A000000}" name="Escopo técnico"/>
    <tableColumn id="11" xr3:uid="{00000000-0010-0000-0000-00000B000000}" name="R1"/>
    <tableColumn id="12" xr3:uid="{00000000-0010-0000-0000-00000C000000}" name="R1 — justificativa"/>
    <tableColumn id="13" xr3:uid="{00000000-0010-0000-0000-00000D000000}" name="R2 — tipo de evidência"/>
    <tableColumn id="14" xr3:uid="{00000000-0010-0000-0000-00000E000000}" name="R4 — utilidade no capítulo"/>
    <tableColumn id="15" xr3:uid="{00000000-0010-0000-0000-00000F000000}" name="Considerações"/>
    <tableColumn id="16" xr3:uid="{00000000-0010-0000-0000-000010000000}" name="Conferir cadastro?"/>
    <tableColumn id="17" xr3:uid="{00000000-0010-0000-0000-000011000000}" name="Priorid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tensPriorizados" displayName="ItensPriorizados" ref="A4:Q20">
  <autoFilter ref="A4:Q20" xr:uid="{00000000-0009-0000-0100-000002000000}"/>
  <tableColumns count="17">
    <tableColumn id="1" xr3:uid="{00000000-0010-0000-0100-000001000000}" name="ID"/>
    <tableColumn id="2" xr3:uid="{00000000-0010-0000-0100-000002000000}" name="Tipo RIS"/>
    <tableColumn id="3" xr3:uid="{00000000-0010-0000-0100-000003000000}" name="Ano"/>
    <tableColumn id="4" xr3:uid="{00000000-0010-0000-0100-000004000000}" name="Referência curta"/>
    <tableColumn id="5" xr3:uid="{00000000-0010-0000-0100-000005000000}" name="Título"/>
    <tableColumn id="6" xr3:uid="{00000000-0010-0000-0100-000006000000}" name="Autores"/>
    <tableColumn id="7" xr3:uid="{00000000-0010-0000-0100-000007000000}" name="Fonte / veículo"/>
    <tableColumn id="8" xr3:uid="{00000000-0010-0000-0100-000008000000}" name="DOI / URL"/>
    <tableColumn id="9" xr3:uid="{00000000-0010-0000-0100-000009000000}" name="Geografia inferida"/>
    <tableColumn id="10" xr3:uid="{00000000-0010-0000-0100-00000A000000}" name="Escopo técnico"/>
    <tableColumn id="11" xr3:uid="{00000000-0010-0000-0100-00000B000000}" name="R1"/>
    <tableColumn id="12" xr3:uid="{00000000-0010-0000-0100-00000C000000}" name="R1 — justificativa"/>
    <tableColumn id="13" xr3:uid="{00000000-0010-0000-0100-00000D000000}" name="R2 — tipo de evidência"/>
    <tableColumn id="14" xr3:uid="{00000000-0010-0000-0100-00000E000000}" name="R4 — utilidade no capítulo"/>
    <tableColumn id="15" xr3:uid="{00000000-0010-0000-0100-00000F000000}" name="Considerações"/>
    <tableColumn id="16" xr3:uid="{00000000-0010-0000-0100-000010000000}" name="Conferir cadastro?"/>
    <tableColumn id="17" xr3:uid="{00000000-0010-0000-0100-000011000000}" name="Prior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showGridLines="0" workbookViewId="0">
      <selection activeCell="N6" sqref="N6"/>
    </sheetView>
  </sheetViews>
  <sheetFormatPr defaultRowHeight="14.4" x14ac:dyDescent="0.3"/>
  <cols>
    <col min="1" max="1" width="6" customWidth="1"/>
    <col min="2" max="2" width="10" customWidth="1"/>
    <col min="3" max="3" width="8" customWidth="1"/>
    <col min="4" max="4" width="24" customWidth="1"/>
    <col min="5" max="5" width="52" customWidth="1"/>
    <col min="6" max="6" width="34" customWidth="1"/>
    <col min="7" max="7" width="22" customWidth="1"/>
    <col min="8" max="8" width="40" customWidth="1"/>
    <col min="9" max="9" width="18" customWidth="1"/>
    <col min="10" max="10" width="24" customWidth="1"/>
    <col min="11" max="11" width="6" customWidth="1"/>
    <col min="12" max="12" width="36" customWidth="1"/>
    <col min="13" max="13" width="24" customWidth="1"/>
    <col min="14" max="14" width="22" customWidth="1"/>
    <col min="15" max="15" width="52" customWidth="1"/>
    <col min="16" max="16" width="14" customWidth="1"/>
    <col min="17" max="17" width="12" customWidth="1"/>
  </cols>
  <sheetData>
    <row r="1" spans="1:17" ht="24" customHeight="1" x14ac:dyDescent="0.3">
      <c r="A1" s="16" t="s">
        <v>200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34.049999999999997" customHeight="1" x14ac:dyDescent="0.3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4" spans="1:17" ht="28.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</row>
    <row r="5" spans="1:17" ht="48" customHeight="1" x14ac:dyDescent="0.3">
      <c r="A5" s="2">
        <v>1</v>
      </c>
      <c r="B5" s="2" t="s">
        <v>18</v>
      </c>
      <c r="C5" s="2"/>
      <c r="D5" s="2" t="s">
        <v>19</v>
      </c>
      <c r="E5" s="2" t="s">
        <v>20</v>
      </c>
      <c r="F5" s="2" t="s">
        <v>21</v>
      </c>
      <c r="G5" s="2" t="s">
        <v>22</v>
      </c>
      <c r="H5" s="3" t="s">
        <v>23</v>
      </c>
      <c r="I5" s="2" t="s">
        <v>24</v>
      </c>
      <c r="J5" s="2" t="s">
        <v>25</v>
      </c>
      <c r="K5" s="4">
        <v>1</v>
      </c>
      <c r="L5" s="2" t="s">
        <v>26</v>
      </c>
      <c r="M5" s="2" t="s">
        <v>27</v>
      </c>
      <c r="N5" s="2" t="s">
        <v>28</v>
      </c>
      <c r="O5" s="2" t="s">
        <v>29</v>
      </c>
      <c r="P5" s="5" t="str">
        <f t="shared" ref="P5:P25" si="0">IF(OR(B5="ELEC",H5=""),"Sim","Não")</f>
        <v>Não</v>
      </c>
      <c r="Q5" s="6" t="str">
        <f t="shared" ref="Q5:Q25" si="1">IF(K5=3,"Alta",IF(K5=2,"Média","Baixa"))</f>
        <v>Baixa</v>
      </c>
    </row>
    <row r="6" spans="1:17" ht="48" customHeight="1" x14ac:dyDescent="0.3">
      <c r="A6" s="2">
        <v>2</v>
      </c>
      <c r="B6" s="2" t="s">
        <v>30</v>
      </c>
      <c r="C6" s="2"/>
      <c r="D6" s="2" t="s">
        <v>31</v>
      </c>
      <c r="E6" s="2" t="s">
        <v>32</v>
      </c>
      <c r="F6" s="2" t="s">
        <v>33</v>
      </c>
      <c r="G6" s="2" t="s">
        <v>33</v>
      </c>
      <c r="H6" s="3" t="s">
        <v>34</v>
      </c>
      <c r="I6" s="2" t="s">
        <v>35</v>
      </c>
      <c r="J6" s="2" t="s">
        <v>36</v>
      </c>
      <c r="K6" s="4">
        <v>1</v>
      </c>
      <c r="L6" s="2" t="s">
        <v>37</v>
      </c>
      <c r="M6" s="2" t="s">
        <v>38</v>
      </c>
      <c r="N6" s="2" t="s">
        <v>39</v>
      </c>
      <c r="O6" s="2" t="s">
        <v>40</v>
      </c>
      <c r="P6" s="5" t="str">
        <f t="shared" si="0"/>
        <v>Sim</v>
      </c>
      <c r="Q6" s="6" t="str">
        <f t="shared" si="1"/>
        <v>Baixa</v>
      </c>
    </row>
    <row r="7" spans="1:17" ht="48" customHeight="1" x14ac:dyDescent="0.3">
      <c r="A7" s="2">
        <v>3</v>
      </c>
      <c r="B7" s="2" t="s">
        <v>41</v>
      </c>
      <c r="C7" s="2">
        <v>2016</v>
      </c>
      <c r="D7" s="2" t="s">
        <v>42</v>
      </c>
      <c r="E7" s="2" t="s">
        <v>43</v>
      </c>
      <c r="F7" s="2" t="s">
        <v>44</v>
      </c>
      <c r="G7" s="2" t="s">
        <v>45</v>
      </c>
      <c r="H7" s="3" t="s">
        <v>46</v>
      </c>
      <c r="I7" s="2" t="s">
        <v>47</v>
      </c>
      <c r="J7" s="2" t="s">
        <v>48</v>
      </c>
      <c r="K7" s="4">
        <v>1</v>
      </c>
      <c r="L7" s="2" t="s">
        <v>26</v>
      </c>
      <c r="M7" s="2" t="s">
        <v>49</v>
      </c>
      <c r="N7" s="2" t="s">
        <v>50</v>
      </c>
      <c r="O7" s="2" t="s">
        <v>51</v>
      </c>
      <c r="P7" s="5" t="str">
        <f t="shared" si="0"/>
        <v>Não</v>
      </c>
      <c r="Q7" s="6" t="str">
        <f t="shared" si="1"/>
        <v>Baixa</v>
      </c>
    </row>
    <row r="8" spans="1:17" ht="48" customHeight="1" x14ac:dyDescent="0.3">
      <c r="A8" s="2">
        <v>4</v>
      </c>
      <c r="B8" s="2" t="s">
        <v>41</v>
      </c>
      <c r="C8" s="2">
        <v>2018</v>
      </c>
      <c r="D8" s="2" t="s">
        <v>52</v>
      </c>
      <c r="E8" s="2" t="s">
        <v>53</v>
      </c>
      <c r="F8" s="2" t="s">
        <v>54</v>
      </c>
      <c r="G8" s="2" t="s">
        <v>55</v>
      </c>
      <c r="H8" s="3" t="s">
        <v>56</v>
      </c>
      <c r="I8" s="2" t="s">
        <v>35</v>
      </c>
      <c r="J8" s="2" t="s">
        <v>48</v>
      </c>
      <c r="K8" s="4">
        <v>1</v>
      </c>
      <c r="L8" s="2" t="s">
        <v>26</v>
      </c>
      <c r="M8" s="2" t="s">
        <v>49</v>
      </c>
      <c r="N8" s="2" t="s">
        <v>28</v>
      </c>
      <c r="O8" s="2" t="s">
        <v>57</v>
      </c>
      <c r="P8" s="5" t="str">
        <f t="shared" si="0"/>
        <v>Não</v>
      </c>
      <c r="Q8" s="6" t="str">
        <f t="shared" si="1"/>
        <v>Baixa</v>
      </c>
    </row>
    <row r="9" spans="1:17" ht="48" customHeight="1" x14ac:dyDescent="0.3">
      <c r="A9" s="2">
        <v>5</v>
      </c>
      <c r="B9" s="2" t="s">
        <v>41</v>
      </c>
      <c r="C9" s="2">
        <v>2021</v>
      </c>
      <c r="D9" s="2" t="s">
        <v>58</v>
      </c>
      <c r="E9" s="2" t="s">
        <v>59</v>
      </c>
      <c r="F9" s="2" t="s">
        <v>60</v>
      </c>
      <c r="G9" s="2" t="s">
        <v>61</v>
      </c>
      <c r="H9" s="3" t="s">
        <v>62</v>
      </c>
      <c r="I9" s="2" t="s">
        <v>35</v>
      </c>
      <c r="J9" s="2" t="s">
        <v>63</v>
      </c>
      <c r="K9" s="5">
        <v>2</v>
      </c>
      <c r="L9" s="2" t="s">
        <v>64</v>
      </c>
      <c r="M9" s="2" t="s">
        <v>49</v>
      </c>
      <c r="N9" s="2" t="s">
        <v>65</v>
      </c>
      <c r="O9" s="2" t="s">
        <v>66</v>
      </c>
      <c r="P9" s="5" t="str">
        <f t="shared" si="0"/>
        <v>Não</v>
      </c>
      <c r="Q9" s="6" t="str">
        <f t="shared" si="1"/>
        <v>Média</v>
      </c>
    </row>
    <row r="10" spans="1:17" ht="48" customHeight="1" x14ac:dyDescent="0.3">
      <c r="A10" s="2">
        <v>6</v>
      </c>
      <c r="B10" s="2" t="s">
        <v>30</v>
      </c>
      <c r="C10" s="2">
        <v>2019</v>
      </c>
      <c r="D10" s="2" t="s">
        <v>67</v>
      </c>
      <c r="E10" s="2" t="s">
        <v>68</v>
      </c>
      <c r="F10" s="2" t="s">
        <v>33</v>
      </c>
      <c r="G10" s="2" t="s">
        <v>33</v>
      </c>
      <c r="H10" s="3" t="s">
        <v>69</v>
      </c>
      <c r="I10" s="2" t="s">
        <v>35</v>
      </c>
      <c r="J10" s="2" t="s">
        <v>70</v>
      </c>
      <c r="K10" s="7">
        <v>3</v>
      </c>
      <c r="L10" s="2" t="s">
        <v>71</v>
      </c>
      <c r="M10" s="2" t="s">
        <v>38</v>
      </c>
      <c r="N10" s="2" t="s">
        <v>28</v>
      </c>
      <c r="O10" s="2" t="s">
        <v>72</v>
      </c>
      <c r="P10" s="5" t="str">
        <f t="shared" si="0"/>
        <v>Sim</v>
      </c>
      <c r="Q10" s="6" t="str">
        <f t="shared" si="1"/>
        <v>Alta</v>
      </c>
    </row>
    <row r="11" spans="1:17" ht="48" customHeight="1" x14ac:dyDescent="0.3">
      <c r="A11" s="2">
        <v>7</v>
      </c>
      <c r="B11" s="2" t="s">
        <v>41</v>
      </c>
      <c r="C11" s="2">
        <v>2018</v>
      </c>
      <c r="D11" s="2" t="s">
        <v>73</v>
      </c>
      <c r="E11" s="2" t="s">
        <v>74</v>
      </c>
      <c r="F11" s="2" t="s">
        <v>75</v>
      </c>
      <c r="G11" s="2" t="s">
        <v>76</v>
      </c>
      <c r="H11" s="3" t="s">
        <v>77</v>
      </c>
      <c r="I11" s="2" t="s">
        <v>24</v>
      </c>
      <c r="J11" s="2" t="s">
        <v>25</v>
      </c>
      <c r="K11" s="7">
        <v>3</v>
      </c>
      <c r="L11" s="2" t="s">
        <v>71</v>
      </c>
      <c r="M11" s="2" t="s">
        <v>78</v>
      </c>
      <c r="N11" s="2" t="s">
        <v>50</v>
      </c>
      <c r="O11" s="2" t="s">
        <v>79</v>
      </c>
      <c r="P11" s="5" t="str">
        <f t="shared" si="0"/>
        <v>Não</v>
      </c>
      <c r="Q11" s="6" t="str">
        <f t="shared" si="1"/>
        <v>Alta</v>
      </c>
    </row>
    <row r="12" spans="1:17" ht="48" customHeight="1" x14ac:dyDescent="0.3">
      <c r="A12" s="2">
        <v>8</v>
      </c>
      <c r="B12" s="2" t="s">
        <v>30</v>
      </c>
      <c r="C12" s="2"/>
      <c r="D12" s="2" t="s">
        <v>80</v>
      </c>
      <c r="E12" s="2" t="s">
        <v>81</v>
      </c>
      <c r="F12" s="2" t="s">
        <v>33</v>
      </c>
      <c r="G12" s="2" t="s">
        <v>33</v>
      </c>
      <c r="H12" s="3" t="s">
        <v>82</v>
      </c>
      <c r="I12" s="2" t="s">
        <v>35</v>
      </c>
      <c r="J12" s="2" t="s">
        <v>25</v>
      </c>
      <c r="K12" s="7">
        <v>3</v>
      </c>
      <c r="L12" s="2" t="s">
        <v>71</v>
      </c>
      <c r="M12" s="2" t="s">
        <v>38</v>
      </c>
      <c r="N12" s="2" t="s">
        <v>65</v>
      </c>
      <c r="O12" s="2" t="s">
        <v>83</v>
      </c>
      <c r="P12" s="5" t="str">
        <f t="shared" si="0"/>
        <v>Sim</v>
      </c>
      <c r="Q12" s="6" t="str">
        <f t="shared" si="1"/>
        <v>Alta</v>
      </c>
    </row>
    <row r="13" spans="1:17" ht="48" customHeight="1" x14ac:dyDescent="0.3">
      <c r="A13" s="2">
        <v>9</v>
      </c>
      <c r="B13" s="2" t="s">
        <v>30</v>
      </c>
      <c r="C13" s="2"/>
      <c r="D13" s="2" t="s">
        <v>84</v>
      </c>
      <c r="E13" s="2" t="s">
        <v>85</v>
      </c>
      <c r="F13" s="2" t="s">
        <v>33</v>
      </c>
      <c r="G13" s="2" t="s">
        <v>33</v>
      </c>
      <c r="H13" s="3" t="s">
        <v>86</v>
      </c>
      <c r="I13" s="2" t="s">
        <v>35</v>
      </c>
      <c r="J13" s="2" t="s">
        <v>25</v>
      </c>
      <c r="K13" s="7">
        <v>3</v>
      </c>
      <c r="L13" s="2" t="s">
        <v>71</v>
      </c>
      <c r="M13" s="2" t="s">
        <v>38</v>
      </c>
      <c r="N13" s="2" t="s">
        <v>39</v>
      </c>
      <c r="O13" s="2" t="s">
        <v>87</v>
      </c>
      <c r="P13" s="5" t="str">
        <f t="shared" si="0"/>
        <v>Sim</v>
      </c>
      <c r="Q13" s="6" t="str">
        <f t="shared" si="1"/>
        <v>Alta</v>
      </c>
    </row>
    <row r="14" spans="1:17" ht="48" customHeight="1" x14ac:dyDescent="0.3">
      <c r="A14" s="2">
        <v>10</v>
      </c>
      <c r="B14" s="2" t="s">
        <v>30</v>
      </c>
      <c r="C14" s="2"/>
      <c r="D14" s="2" t="s">
        <v>88</v>
      </c>
      <c r="E14" s="2" t="s">
        <v>89</v>
      </c>
      <c r="F14" s="2" t="s">
        <v>33</v>
      </c>
      <c r="G14" s="2" t="s">
        <v>33</v>
      </c>
      <c r="H14" s="3" t="s">
        <v>90</v>
      </c>
      <c r="I14" s="2" t="s">
        <v>24</v>
      </c>
      <c r="J14" s="2" t="s">
        <v>36</v>
      </c>
      <c r="K14" s="7">
        <v>3</v>
      </c>
      <c r="L14" s="2" t="s">
        <v>71</v>
      </c>
      <c r="M14" s="2" t="s">
        <v>38</v>
      </c>
      <c r="N14" s="2" t="s">
        <v>50</v>
      </c>
      <c r="O14" s="2" t="s">
        <v>91</v>
      </c>
      <c r="P14" s="5" t="str">
        <f t="shared" si="0"/>
        <v>Sim</v>
      </c>
      <c r="Q14" s="6" t="str">
        <f t="shared" si="1"/>
        <v>Alta</v>
      </c>
    </row>
    <row r="15" spans="1:17" ht="48" customHeight="1" x14ac:dyDescent="0.3">
      <c r="A15" s="2">
        <v>11</v>
      </c>
      <c r="B15" s="2" t="s">
        <v>92</v>
      </c>
      <c r="C15" s="2">
        <v>2001</v>
      </c>
      <c r="D15" s="2" t="s">
        <v>93</v>
      </c>
      <c r="E15" s="2" t="s">
        <v>94</v>
      </c>
      <c r="F15" s="2" t="s">
        <v>95</v>
      </c>
      <c r="G15" s="2" t="s">
        <v>96</v>
      </c>
      <c r="H15" s="3" t="s">
        <v>97</v>
      </c>
      <c r="I15" s="2" t="s">
        <v>35</v>
      </c>
      <c r="J15" s="2" t="s">
        <v>63</v>
      </c>
      <c r="K15" s="7">
        <v>3</v>
      </c>
      <c r="L15" s="2" t="s">
        <v>98</v>
      </c>
      <c r="M15" s="2" t="s">
        <v>99</v>
      </c>
      <c r="N15" s="2" t="s">
        <v>39</v>
      </c>
      <c r="O15" s="2" t="s">
        <v>100</v>
      </c>
      <c r="P15" s="5" t="str">
        <f t="shared" si="0"/>
        <v>Não</v>
      </c>
      <c r="Q15" s="6" t="str">
        <f t="shared" si="1"/>
        <v>Alta</v>
      </c>
    </row>
    <row r="16" spans="1:17" ht="48" customHeight="1" x14ac:dyDescent="0.3">
      <c r="A16" s="2">
        <v>12</v>
      </c>
      <c r="B16" s="2" t="s">
        <v>30</v>
      </c>
      <c r="C16" s="2"/>
      <c r="D16" s="2" t="s">
        <v>101</v>
      </c>
      <c r="E16" s="2" t="s">
        <v>101</v>
      </c>
      <c r="F16" s="2" t="s">
        <v>33</v>
      </c>
      <c r="G16" s="2" t="s">
        <v>33</v>
      </c>
      <c r="H16" s="3" t="s">
        <v>97</v>
      </c>
      <c r="I16" s="2" t="s">
        <v>35</v>
      </c>
      <c r="J16" s="2" t="s">
        <v>63</v>
      </c>
      <c r="K16" s="4">
        <v>1</v>
      </c>
      <c r="L16" s="2" t="s">
        <v>102</v>
      </c>
      <c r="M16" s="2" t="s">
        <v>38</v>
      </c>
      <c r="N16" s="2" t="s">
        <v>39</v>
      </c>
      <c r="O16" s="2" t="s">
        <v>40</v>
      </c>
      <c r="P16" s="5" t="str">
        <f t="shared" si="0"/>
        <v>Sim</v>
      </c>
      <c r="Q16" s="6" t="str">
        <f t="shared" si="1"/>
        <v>Baixa</v>
      </c>
    </row>
    <row r="17" spans="1:17" ht="48" customHeight="1" x14ac:dyDescent="0.3">
      <c r="A17" s="2">
        <v>13</v>
      </c>
      <c r="B17" s="2" t="s">
        <v>18</v>
      </c>
      <c r="C17" s="2">
        <v>2017</v>
      </c>
      <c r="D17" s="2" t="s">
        <v>103</v>
      </c>
      <c r="E17" s="2" t="s">
        <v>104</v>
      </c>
      <c r="F17" s="2" t="s">
        <v>105</v>
      </c>
      <c r="G17" s="2" t="s">
        <v>106</v>
      </c>
      <c r="H17" s="3" t="s">
        <v>107</v>
      </c>
      <c r="I17" s="2" t="s">
        <v>35</v>
      </c>
      <c r="J17" s="2" t="s">
        <v>70</v>
      </c>
      <c r="K17" s="7">
        <v>3</v>
      </c>
      <c r="L17" s="2" t="s">
        <v>71</v>
      </c>
      <c r="M17" s="2" t="s">
        <v>27</v>
      </c>
      <c r="N17" s="2" t="s">
        <v>50</v>
      </c>
      <c r="O17" s="2" t="s">
        <v>108</v>
      </c>
      <c r="P17" s="5" t="str">
        <f t="shared" si="0"/>
        <v>Não</v>
      </c>
      <c r="Q17" s="6" t="str">
        <f t="shared" si="1"/>
        <v>Alta</v>
      </c>
    </row>
    <row r="18" spans="1:17" ht="48" customHeight="1" x14ac:dyDescent="0.3">
      <c r="A18" s="2">
        <v>14</v>
      </c>
      <c r="B18" s="2" t="s">
        <v>41</v>
      </c>
      <c r="C18" s="2">
        <v>2018</v>
      </c>
      <c r="D18" s="2" t="s">
        <v>109</v>
      </c>
      <c r="E18" s="2" t="s">
        <v>110</v>
      </c>
      <c r="F18" s="2" t="s">
        <v>111</v>
      </c>
      <c r="G18" s="2" t="s">
        <v>112</v>
      </c>
      <c r="H18" s="3" t="s">
        <v>113</v>
      </c>
      <c r="I18" s="2" t="s">
        <v>114</v>
      </c>
      <c r="J18" s="2" t="s">
        <v>70</v>
      </c>
      <c r="K18" s="7">
        <v>3</v>
      </c>
      <c r="L18" s="2" t="s">
        <v>71</v>
      </c>
      <c r="M18" s="2" t="s">
        <v>49</v>
      </c>
      <c r="N18" s="2" t="s">
        <v>28</v>
      </c>
      <c r="O18" s="2" t="s">
        <v>115</v>
      </c>
      <c r="P18" s="5" t="str">
        <f t="shared" si="0"/>
        <v>Não</v>
      </c>
      <c r="Q18" s="6" t="str">
        <f t="shared" si="1"/>
        <v>Alta</v>
      </c>
    </row>
    <row r="19" spans="1:17" ht="48" customHeight="1" x14ac:dyDescent="0.3">
      <c r="A19" s="2">
        <v>15</v>
      </c>
      <c r="B19" s="2" t="s">
        <v>30</v>
      </c>
      <c r="C19" s="2"/>
      <c r="D19" s="2" t="s">
        <v>116</v>
      </c>
      <c r="E19" s="2" t="s">
        <v>117</v>
      </c>
      <c r="F19" s="2" t="s">
        <v>33</v>
      </c>
      <c r="G19" s="2" t="s">
        <v>33</v>
      </c>
      <c r="H19" s="3" t="s">
        <v>118</v>
      </c>
      <c r="I19" s="2" t="s">
        <v>24</v>
      </c>
      <c r="J19" s="2" t="s">
        <v>63</v>
      </c>
      <c r="K19" s="7">
        <v>3</v>
      </c>
      <c r="L19" s="2" t="s">
        <v>71</v>
      </c>
      <c r="M19" s="2" t="s">
        <v>38</v>
      </c>
      <c r="N19" s="2" t="s">
        <v>39</v>
      </c>
      <c r="O19" s="2" t="s">
        <v>119</v>
      </c>
      <c r="P19" s="5" t="str">
        <f t="shared" si="0"/>
        <v>Sim</v>
      </c>
      <c r="Q19" s="6" t="str">
        <f t="shared" si="1"/>
        <v>Alta</v>
      </c>
    </row>
    <row r="20" spans="1:17" ht="48" customHeight="1" x14ac:dyDescent="0.3">
      <c r="A20" s="2">
        <v>16</v>
      </c>
      <c r="B20" s="2" t="s">
        <v>30</v>
      </c>
      <c r="C20" s="2"/>
      <c r="D20" s="2" t="s">
        <v>120</v>
      </c>
      <c r="E20" s="2" t="s">
        <v>121</v>
      </c>
      <c r="F20" s="2" t="s">
        <v>33</v>
      </c>
      <c r="G20" s="2" t="s">
        <v>33</v>
      </c>
      <c r="H20" s="3" t="s">
        <v>122</v>
      </c>
      <c r="I20" s="2" t="s">
        <v>35</v>
      </c>
      <c r="J20" s="2" t="s">
        <v>25</v>
      </c>
      <c r="K20" s="7">
        <v>3</v>
      </c>
      <c r="L20" s="2" t="s">
        <v>71</v>
      </c>
      <c r="M20" s="2" t="s">
        <v>38</v>
      </c>
      <c r="N20" s="2" t="s">
        <v>65</v>
      </c>
      <c r="O20" s="2" t="s">
        <v>83</v>
      </c>
      <c r="P20" s="5" t="str">
        <f t="shared" si="0"/>
        <v>Sim</v>
      </c>
      <c r="Q20" s="6" t="str">
        <f t="shared" si="1"/>
        <v>Alta</v>
      </c>
    </row>
    <row r="21" spans="1:17" ht="48" customHeight="1" x14ac:dyDescent="0.3">
      <c r="A21" s="2">
        <v>17</v>
      </c>
      <c r="B21" s="2" t="s">
        <v>30</v>
      </c>
      <c r="C21" s="2">
        <v>2002</v>
      </c>
      <c r="D21" s="2" t="s">
        <v>123</v>
      </c>
      <c r="E21" s="2" t="s">
        <v>124</v>
      </c>
      <c r="F21" s="2" t="s">
        <v>33</v>
      </c>
      <c r="G21" s="2" t="s">
        <v>33</v>
      </c>
      <c r="H21" s="3" t="s">
        <v>125</v>
      </c>
      <c r="I21" s="2" t="s">
        <v>35</v>
      </c>
      <c r="J21" s="2" t="s">
        <v>70</v>
      </c>
      <c r="K21" s="7">
        <v>3</v>
      </c>
      <c r="L21" s="2" t="s">
        <v>71</v>
      </c>
      <c r="M21" s="2" t="s">
        <v>38</v>
      </c>
      <c r="N21" s="2" t="s">
        <v>50</v>
      </c>
      <c r="O21" s="2" t="s">
        <v>126</v>
      </c>
      <c r="P21" s="5" t="str">
        <f t="shared" si="0"/>
        <v>Sim</v>
      </c>
      <c r="Q21" s="6" t="str">
        <f t="shared" si="1"/>
        <v>Alta</v>
      </c>
    </row>
    <row r="22" spans="1:17" ht="48" customHeight="1" x14ac:dyDescent="0.3">
      <c r="A22" s="2">
        <v>18</v>
      </c>
      <c r="B22" s="2" t="s">
        <v>41</v>
      </c>
      <c r="C22" s="2">
        <v>2025</v>
      </c>
      <c r="D22" s="2" t="s">
        <v>127</v>
      </c>
      <c r="E22" s="2" t="s">
        <v>128</v>
      </c>
      <c r="F22" s="2" t="s">
        <v>129</v>
      </c>
      <c r="G22" s="2" t="s">
        <v>130</v>
      </c>
      <c r="H22" s="3" t="s">
        <v>131</v>
      </c>
      <c r="I22" s="2" t="s">
        <v>35</v>
      </c>
      <c r="J22" s="2" t="s">
        <v>36</v>
      </c>
      <c r="K22" s="7">
        <v>3</v>
      </c>
      <c r="L22" s="2" t="s">
        <v>71</v>
      </c>
      <c r="M22" s="2" t="s">
        <v>49</v>
      </c>
      <c r="N22" s="2" t="s">
        <v>65</v>
      </c>
      <c r="O22" s="2" t="s">
        <v>132</v>
      </c>
      <c r="P22" s="5" t="str">
        <f t="shared" si="0"/>
        <v>Não</v>
      </c>
      <c r="Q22" s="6" t="str">
        <f t="shared" si="1"/>
        <v>Alta</v>
      </c>
    </row>
    <row r="23" spans="1:17" ht="48" customHeight="1" x14ac:dyDescent="0.3">
      <c r="A23" s="2">
        <v>19</v>
      </c>
      <c r="B23" s="2" t="s">
        <v>41</v>
      </c>
      <c r="C23" s="2">
        <v>2023</v>
      </c>
      <c r="D23" s="2" t="s">
        <v>133</v>
      </c>
      <c r="E23" s="2" t="s">
        <v>134</v>
      </c>
      <c r="F23" s="2" t="s">
        <v>135</v>
      </c>
      <c r="G23" s="2" t="s">
        <v>136</v>
      </c>
      <c r="H23" s="3" t="s">
        <v>137</v>
      </c>
      <c r="I23" s="2" t="s">
        <v>138</v>
      </c>
      <c r="J23" s="2" t="s">
        <v>25</v>
      </c>
      <c r="K23" s="7">
        <v>3</v>
      </c>
      <c r="L23" s="2" t="s">
        <v>71</v>
      </c>
      <c r="M23" s="2" t="s">
        <v>139</v>
      </c>
      <c r="N23" s="2" t="s">
        <v>28</v>
      </c>
      <c r="O23" s="2" t="s">
        <v>140</v>
      </c>
      <c r="P23" s="5" t="str">
        <f t="shared" si="0"/>
        <v>Não</v>
      </c>
      <c r="Q23" s="6" t="str">
        <f t="shared" si="1"/>
        <v>Alta</v>
      </c>
    </row>
    <row r="24" spans="1:17" ht="48" customHeight="1" x14ac:dyDescent="0.3">
      <c r="A24" s="2">
        <v>20</v>
      </c>
      <c r="B24" s="2" t="s">
        <v>141</v>
      </c>
      <c r="C24" s="2">
        <v>2022</v>
      </c>
      <c r="D24" s="2" t="s">
        <v>142</v>
      </c>
      <c r="E24" s="2" t="s">
        <v>143</v>
      </c>
      <c r="F24" s="2" t="s">
        <v>144</v>
      </c>
      <c r="G24" s="2" t="s">
        <v>145</v>
      </c>
      <c r="H24" s="3" t="s">
        <v>146</v>
      </c>
      <c r="I24" s="2" t="s">
        <v>35</v>
      </c>
      <c r="J24" s="2" t="s">
        <v>36</v>
      </c>
      <c r="K24" s="7">
        <v>3</v>
      </c>
      <c r="L24" s="2" t="s">
        <v>71</v>
      </c>
      <c r="M24" s="2" t="s">
        <v>147</v>
      </c>
      <c r="N24" s="2" t="s">
        <v>148</v>
      </c>
      <c r="O24" s="2" t="s">
        <v>100</v>
      </c>
      <c r="P24" s="5" t="str">
        <f t="shared" si="0"/>
        <v>Não</v>
      </c>
      <c r="Q24" s="6" t="str">
        <f t="shared" si="1"/>
        <v>Alta</v>
      </c>
    </row>
    <row r="25" spans="1:17" ht="48" customHeight="1" x14ac:dyDescent="0.3">
      <c r="A25" s="2">
        <v>21</v>
      </c>
      <c r="B25" s="2" t="s">
        <v>18</v>
      </c>
      <c r="C25" s="2"/>
      <c r="D25" s="2" t="s">
        <v>149</v>
      </c>
      <c r="E25" s="2" t="s">
        <v>150</v>
      </c>
      <c r="F25" s="2" t="s">
        <v>151</v>
      </c>
      <c r="G25" s="2" t="s">
        <v>22</v>
      </c>
      <c r="H25" s="3" t="s">
        <v>152</v>
      </c>
      <c r="I25" s="2" t="s">
        <v>24</v>
      </c>
      <c r="J25" s="2" t="s">
        <v>36</v>
      </c>
      <c r="K25" s="7">
        <v>3</v>
      </c>
      <c r="L25" s="2" t="s">
        <v>71</v>
      </c>
      <c r="M25" s="2" t="s">
        <v>27</v>
      </c>
      <c r="N25" s="2" t="s">
        <v>28</v>
      </c>
      <c r="O25" s="2" t="s">
        <v>153</v>
      </c>
      <c r="P25" s="5" t="str">
        <f t="shared" si="0"/>
        <v>Não</v>
      </c>
      <c r="Q25" s="6" t="str">
        <f t="shared" si="1"/>
        <v>Alta</v>
      </c>
    </row>
  </sheetData>
  <mergeCells count="2">
    <mergeCell ref="A2:Q2"/>
    <mergeCell ref="A1:Q1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showGridLines="0" workbookViewId="0"/>
  </sheetViews>
  <sheetFormatPr defaultRowHeight="14.4" x14ac:dyDescent="0.3"/>
  <cols>
    <col min="1" max="1" width="6" customWidth="1"/>
    <col min="2" max="2" width="10" customWidth="1"/>
    <col min="3" max="3" width="8" customWidth="1"/>
    <col min="4" max="4" width="24" customWidth="1"/>
    <col min="5" max="5" width="52" customWidth="1"/>
    <col min="6" max="6" width="34" customWidth="1"/>
    <col min="7" max="7" width="22" customWidth="1"/>
    <col min="8" max="8" width="40" customWidth="1"/>
    <col min="9" max="9" width="18" customWidth="1"/>
    <col min="10" max="10" width="24" customWidth="1"/>
    <col min="11" max="11" width="6" customWidth="1"/>
    <col min="12" max="12" width="36" customWidth="1"/>
    <col min="13" max="13" width="24" customWidth="1"/>
    <col min="14" max="14" width="22" customWidth="1"/>
    <col min="15" max="15" width="52" customWidth="1"/>
    <col min="16" max="16" width="14" customWidth="1"/>
    <col min="17" max="17" width="12" customWidth="1"/>
  </cols>
  <sheetData>
    <row r="1" spans="1:17" ht="17.399999999999999" x14ac:dyDescent="0.35">
      <c r="A1" s="13" t="s">
        <v>154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x14ac:dyDescent="0.3">
      <c r="A2" s="12" t="s">
        <v>155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1:17" ht="28.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</row>
    <row r="5" spans="1:17" ht="48" customHeight="1" x14ac:dyDescent="0.3">
      <c r="A5" s="2">
        <v>1</v>
      </c>
      <c r="B5" s="2" t="s">
        <v>41</v>
      </c>
      <c r="C5" s="2">
        <v>2025</v>
      </c>
      <c r="D5" s="2" t="s">
        <v>127</v>
      </c>
      <c r="E5" s="2" t="s">
        <v>128</v>
      </c>
      <c r="F5" s="2" t="s">
        <v>129</v>
      </c>
      <c r="G5" s="2" t="s">
        <v>130</v>
      </c>
      <c r="H5" s="3" t="s">
        <v>131</v>
      </c>
      <c r="I5" s="2" t="s">
        <v>35</v>
      </c>
      <c r="J5" s="2" t="s">
        <v>36</v>
      </c>
      <c r="K5" s="7">
        <v>3</v>
      </c>
      <c r="L5" s="2" t="s">
        <v>71</v>
      </c>
      <c r="M5" s="2" t="s">
        <v>49</v>
      </c>
      <c r="N5" s="2" t="s">
        <v>65</v>
      </c>
      <c r="O5" s="2" t="s">
        <v>132</v>
      </c>
      <c r="P5" s="5" t="str">
        <f t="shared" ref="P5:P20" si="0">IF(OR(B5="ELEC",H5=""),"Sim","Não")</f>
        <v>Não</v>
      </c>
      <c r="Q5" s="6" t="str">
        <f t="shared" ref="Q5:Q20" si="1">IF(K5=3,"Alta",IF(K5=2,"Média","Baixa"))</f>
        <v>Alta</v>
      </c>
    </row>
    <row r="6" spans="1:17" ht="48" customHeight="1" x14ac:dyDescent="0.3">
      <c r="A6" s="2">
        <v>2</v>
      </c>
      <c r="B6" s="2" t="s">
        <v>41</v>
      </c>
      <c r="C6" s="2">
        <v>2023</v>
      </c>
      <c r="D6" s="2" t="s">
        <v>133</v>
      </c>
      <c r="E6" s="2" t="s">
        <v>134</v>
      </c>
      <c r="F6" s="2" t="s">
        <v>135</v>
      </c>
      <c r="G6" s="2" t="s">
        <v>136</v>
      </c>
      <c r="H6" s="3" t="s">
        <v>137</v>
      </c>
      <c r="I6" s="2" t="s">
        <v>138</v>
      </c>
      <c r="J6" s="2" t="s">
        <v>25</v>
      </c>
      <c r="K6" s="7">
        <v>3</v>
      </c>
      <c r="L6" s="2" t="s">
        <v>71</v>
      </c>
      <c r="M6" s="2" t="s">
        <v>139</v>
      </c>
      <c r="N6" s="2" t="s">
        <v>28</v>
      </c>
      <c r="O6" s="2" t="s">
        <v>140</v>
      </c>
      <c r="P6" s="5" t="str">
        <f t="shared" si="0"/>
        <v>Não</v>
      </c>
      <c r="Q6" s="6" t="str">
        <f t="shared" si="1"/>
        <v>Alta</v>
      </c>
    </row>
    <row r="7" spans="1:17" ht="48" customHeight="1" x14ac:dyDescent="0.3">
      <c r="A7" s="2">
        <v>3</v>
      </c>
      <c r="B7" s="2" t="s">
        <v>141</v>
      </c>
      <c r="C7" s="2">
        <v>2022</v>
      </c>
      <c r="D7" s="2" t="s">
        <v>142</v>
      </c>
      <c r="E7" s="2" t="s">
        <v>143</v>
      </c>
      <c r="F7" s="2" t="s">
        <v>144</v>
      </c>
      <c r="G7" s="2" t="s">
        <v>145</v>
      </c>
      <c r="H7" s="3" t="s">
        <v>146</v>
      </c>
      <c r="I7" s="2" t="s">
        <v>35</v>
      </c>
      <c r="J7" s="2" t="s">
        <v>36</v>
      </c>
      <c r="K7" s="7">
        <v>3</v>
      </c>
      <c r="L7" s="2" t="s">
        <v>71</v>
      </c>
      <c r="M7" s="2" t="s">
        <v>147</v>
      </c>
      <c r="N7" s="2" t="s">
        <v>148</v>
      </c>
      <c r="O7" s="2" t="s">
        <v>100</v>
      </c>
      <c r="P7" s="5" t="str">
        <f t="shared" si="0"/>
        <v>Não</v>
      </c>
      <c r="Q7" s="6" t="str">
        <f t="shared" si="1"/>
        <v>Alta</v>
      </c>
    </row>
    <row r="8" spans="1:17" ht="48" customHeight="1" x14ac:dyDescent="0.3">
      <c r="A8" s="2">
        <v>4</v>
      </c>
      <c r="B8" s="2" t="s">
        <v>30</v>
      </c>
      <c r="C8" s="2">
        <v>2019</v>
      </c>
      <c r="D8" s="2" t="s">
        <v>67</v>
      </c>
      <c r="E8" s="2" t="s">
        <v>68</v>
      </c>
      <c r="F8" s="2" t="s">
        <v>33</v>
      </c>
      <c r="G8" s="2" t="s">
        <v>33</v>
      </c>
      <c r="H8" s="3" t="s">
        <v>69</v>
      </c>
      <c r="I8" s="2" t="s">
        <v>35</v>
      </c>
      <c r="J8" s="2" t="s">
        <v>70</v>
      </c>
      <c r="K8" s="7">
        <v>3</v>
      </c>
      <c r="L8" s="2" t="s">
        <v>71</v>
      </c>
      <c r="M8" s="2" t="s">
        <v>38</v>
      </c>
      <c r="N8" s="2" t="s">
        <v>28</v>
      </c>
      <c r="O8" s="2" t="s">
        <v>72</v>
      </c>
      <c r="P8" s="5" t="str">
        <f t="shared" si="0"/>
        <v>Sim</v>
      </c>
      <c r="Q8" s="6" t="str">
        <f t="shared" si="1"/>
        <v>Alta</v>
      </c>
    </row>
    <row r="9" spans="1:17" ht="48" customHeight="1" x14ac:dyDescent="0.3">
      <c r="A9" s="2">
        <v>5</v>
      </c>
      <c r="B9" s="2" t="s">
        <v>41</v>
      </c>
      <c r="C9" s="2">
        <v>2018</v>
      </c>
      <c r="D9" s="2" t="s">
        <v>73</v>
      </c>
      <c r="E9" s="2" t="s">
        <v>74</v>
      </c>
      <c r="F9" s="2" t="s">
        <v>75</v>
      </c>
      <c r="G9" s="2" t="s">
        <v>76</v>
      </c>
      <c r="H9" s="3" t="s">
        <v>77</v>
      </c>
      <c r="I9" s="2" t="s">
        <v>24</v>
      </c>
      <c r="J9" s="2" t="s">
        <v>25</v>
      </c>
      <c r="K9" s="7">
        <v>3</v>
      </c>
      <c r="L9" s="2" t="s">
        <v>71</v>
      </c>
      <c r="M9" s="2" t="s">
        <v>78</v>
      </c>
      <c r="N9" s="2" t="s">
        <v>50</v>
      </c>
      <c r="O9" s="2" t="s">
        <v>79</v>
      </c>
      <c r="P9" s="5" t="str">
        <f t="shared" si="0"/>
        <v>Não</v>
      </c>
      <c r="Q9" s="6" t="str">
        <f t="shared" si="1"/>
        <v>Alta</v>
      </c>
    </row>
    <row r="10" spans="1:17" ht="48" customHeight="1" x14ac:dyDescent="0.3">
      <c r="A10" s="2">
        <v>6</v>
      </c>
      <c r="B10" s="2" t="s">
        <v>41</v>
      </c>
      <c r="C10" s="2">
        <v>2018</v>
      </c>
      <c r="D10" s="2" t="s">
        <v>109</v>
      </c>
      <c r="E10" s="2" t="s">
        <v>110</v>
      </c>
      <c r="F10" s="2" t="s">
        <v>111</v>
      </c>
      <c r="G10" s="2" t="s">
        <v>112</v>
      </c>
      <c r="H10" s="3" t="s">
        <v>113</v>
      </c>
      <c r="I10" s="2" t="s">
        <v>114</v>
      </c>
      <c r="J10" s="2" t="s">
        <v>70</v>
      </c>
      <c r="K10" s="7">
        <v>3</v>
      </c>
      <c r="L10" s="2" t="s">
        <v>71</v>
      </c>
      <c r="M10" s="2" t="s">
        <v>49</v>
      </c>
      <c r="N10" s="2" t="s">
        <v>28</v>
      </c>
      <c r="O10" s="2" t="s">
        <v>115</v>
      </c>
      <c r="P10" s="5" t="str">
        <f t="shared" si="0"/>
        <v>Não</v>
      </c>
      <c r="Q10" s="6" t="str">
        <f t="shared" si="1"/>
        <v>Alta</v>
      </c>
    </row>
    <row r="11" spans="1:17" ht="48" customHeight="1" x14ac:dyDescent="0.3">
      <c r="A11" s="2">
        <v>7</v>
      </c>
      <c r="B11" s="2" t="s">
        <v>18</v>
      </c>
      <c r="C11" s="2">
        <v>2017</v>
      </c>
      <c r="D11" s="2" t="s">
        <v>103</v>
      </c>
      <c r="E11" s="2" t="s">
        <v>104</v>
      </c>
      <c r="F11" s="2" t="s">
        <v>105</v>
      </c>
      <c r="G11" s="2" t="s">
        <v>106</v>
      </c>
      <c r="H11" s="3" t="s">
        <v>107</v>
      </c>
      <c r="I11" s="2" t="s">
        <v>35</v>
      </c>
      <c r="J11" s="2" t="s">
        <v>70</v>
      </c>
      <c r="K11" s="7">
        <v>3</v>
      </c>
      <c r="L11" s="2" t="s">
        <v>71</v>
      </c>
      <c r="M11" s="2" t="s">
        <v>27</v>
      </c>
      <c r="N11" s="2" t="s">
        <v>50</v>
      </c>
      <c r="O11" s="2" t="s">
        <v>108</v>
      </c>
      <c r="P11" s="5" t="str">
        <f t="shared" si="0"/>
        <v>Não</v>
      </c>
      <c r="Q11" s="6" t="str">
        <f t="shared" si="1"/>
        <v>Alta</v>
      </c>
    </row>
    <row r="12" spans="1:17" ht="48" customHeight="1" x14ac:dyDescent="0.3">
      <c r="A12" s="2">
        <v>8</v>
      </c>
      <c r="B12" s="2" t="s">
        <v>30</v>
      </c>
      <c r="C12" s="2">
        <v>2002</v>
      </c>
      <c r="D12" s="2" t="s">
        <v>123</v>
      </c>
      <c r="E12" s="2" t="s">
        <v>124</v>
      </c>
      <c r="F12" s="2" t="s">
        <v>33</v>
      </c>
      <c r="G12" s="2" t="s">
        <v>33</v>
      </c>
      <c r="H12" s="3" t="s">
        <v>125</v>
      </c>
      <c r="I12" s="2" t="s">
        <v>35</v>
      </c>
      <c r="J12" s="2" t="s">
        <v>70</v>
      </c>
      <c r="K12" s="7">
        <v>3</v>
      </c>
      <c r="L12" s="2" t="s">
        <v>71</v>
      </c>
      <c r="M12" s="2" t="s">
        <v>38</v>
      </c>
      <c r="N12" s="2" t="s">
        <v>50</v>
      </c>
      <c r="O12" s="2" t="s">
        <v>126</v>
      </c>
      <c r="P12" s="5" t="str">
        <f t="shared" si="0"/>
        <v>Sim</v>
      </c>
      <c r="Q12" s="6" t="str">
        <f t="shared" si="1"/>
        <v>Alta</v>
      </c>
    </row>
    <row r="13" spans="1:17" ht="48" customHeight="1" x14ac:dyDescent="0.3">
      <c r="A13" s="2">
        <v>9</v>
      </c>
      <c r="B13" s="2" t="s">
        <v>92</v>
      </c>
      <c r="C13" s="2">
        <v>2001</v>
      </c>
      <c r="D13" s="2" t="s">
        <v>93</v>
      </c>
      <c r="E13" s="2" t="s">
        <v>94</v>
      </c>
      <c r="F13" s="2" t="s">
        <v>95</v>
      </c>
      <c r="G13" s="2" t="s">
        <v>96</v>
      </c>
      <c r="H13" s="3" t="s">
        <v>97</v>
      </c>
      <c r="I13" s="2" t="s">
        <v>35</v>
      </c>
      <c r="J13" s="2" t="s">
        <v>63</v>
      </c>
      <c r="K13" s="7">
        <v>3</v>
      </c>
      <c r="L13" s="2" t="s">
        <v>98</v>
      </c>
      <c r="M13" s="2" t="s">
        <v>99</v>
      </c>
      <c r="N13" s="2" t="s">
        <v>39</v>
      </c>
      <c r="O13" s="2" t="s">
        <v>100</v>
      </c>
      <c r="P13" s="5" t="str">
        <f t="shared" si="0"/>
        <v>Não</v>
      </c>
      <c r="Q13" s="6" t="str">
        <f t="shared" si="1"/>
        <v>Alta</v>
      </c>
    </row>
    <row r="14" spans="1:17" ht="48" customHeight="1" x14ac:dyDescent="0.3">
      <c r="A14" s="2">
        <v>10</v>
      </c>
      <c r="B14" s="2" t="s">
        <v>18</v>
      </c>
      <c r="C14" s="2"/>
      <c r="D14" s="2" t="s">
        <v>149</v>
      </c>
      <c r="E14" s="2" t="s">
        <v>150</v>
      </c>
      <c r="F14" s="2" t="s">
        <v>151</v>
      </c>
      <c r="G14" s="2" t="s">
        <v>22</v>
      </c>
      <c r="H14" s="3" t="s">
        <v>152</v>
      </c>
      <c r="I14" s="2" t="s">
        <v>24</v>
      </c>
      <c r="J14" s="2" t="s">
        <v>36</v>
      </c>
      <c r="K14" s="7">
        <v>3</v>
      </c>
      <c r="L14" s="2" t="s">
        <v>71</v>
      </c>
      <c r="M14" s="2" t="s">
        <v>27</v>
      </c>
      <c r="N14" s="2" t="s">
        <v>28</v>
      </c>
      <c r="O14" s="2" t="s">
        <v>153</v>
      </c>
      <c r="P14" s="5" t="str">
        <f t="shared" si="0"/>
        <v>Não</v>
      </c>
      <c r="Q14" s="6" t="str">
        <f t="shared" si="1"/>
        <v>Alta</v>
      </c>
    </row>
    <row r="15" spans="1:17" ht="48" customHeight="1" x14ac:dyDescent="0.3">
      <c r="A15" s="2">
        <v>11</v>
      </c>
      <c r="B15" s="2" t="s">
        <v>30</v>
      </c>
      <c r="C15" s="2"/>
      <c r="D15" s="2" t="s">
        <v>116</v>
      </c>
      <c r="E15" s="2" t="s">
        <v>117</v>
      </c>
      <c r="F15" s="2" t="s">
        <v>33</v>
      </c>
      <c r="G15" s="2" t="s">
        <v>33</v>
      </c>
      <c r="H15" s="3" t="s">
        <v>118</v>
      </c>
      <c r="I15" s="2" t="s">
        <v>24</v>
      </c>
      <c r="J15" s="2" t="s">
        <v>63</v>
      </c>
      <c r="K15" s="7">
        <v>3</v>
      </c>
      <c r="L15" s="2" t="s">
        <v>71</v>
      </c>
      <c r="M15" s="2" t="s">
        <v>38</v>
      </c>
      <c r="N15" s="2" t="s">
        <v>39</v>
      </c>
      <c r="O15" s="2" t="s">
        <v>119</v>
      </c>
      <c r="P15" s="5" t="str">
        <f t="shared" si="0"/>
        <v>Sim</v>
      </c>
      <c r="Q15" s="6" t="str">
        <f t="shared" si="1"/>
        <v>Alta</v>
      </c>
    </row>
    <row r="16" spans="1:17" ht="48" customHeight="1" x14ac:dyDescent="0.3">
      <c r="A16" s="2">
        <v>12</v>
      </c>
      <c r="B16" s="2" t="s">
        <v>30</v>
      </c>
      <c r="C16" s="2"/>
      <c r="D16" s="2" t="s">
        <v>80</v>
      </c>
      <c r="E16" s="2" t="s">
        <v>81</v>
      </c>
      <c r="F16" s="2" t="s">
        <v>33</v>
      </c>
      <c r="G16" s="2" t="s">
        <v>33</v>
      </c>
      <c r="H16" s="3" t="s">
        <v>82</v>
      </c>
      <c r="I16" s="2" t="s">
        <v>35</v>
      </c>
      <c r="J16" s="2" t="s">
        <v>25</v>
      </c>
      <c r="K16" s="7">
        <v>3</v>
      </c>
      <c r="L16" s="2" t="s">
        <v>71</v>
      </c>
      <c r="M16" s="2" t="s">
        <v>38</v>
      </c>
      <c r="N16" s="2" t="s">
        <v>65</v>
      </c>
      <c r="O16" s="2" t="s">
        <v>83</v>
      </c>
      <c r="P16" s="5" t="str">
        <f t="shared" si="0"/>
        <v>Sim</v>
      </c>
      <c r="Q16" s="6" t="str">
        <f t="shared" si="1"/>
        <v>Alta</v>
      </c>
    </row>
    <row r="17" spans="1:17" ht="48" customHeight="1" x14ac:dyDescent="0.3">
      <c r="A17" s="2">
        <v>13</v>
      </c>
      <c r="B17" s="2" t="s">
        <v>30</v>
      </c>
      <c r="C17" s="2"/>
      <c r="D17" s="2" t="s">
        <v>84</v>
      </c>
      <c r="E17" s="2" t="s">
        <v>85</v>
      </c>
      <c r="F17" s="2" t="s">
        <v>33</v>
      </c>
      <c r="G17" s="2" t="s">
        <v>33</v>
      </c>
      <c r="H17" s="3" t="s">
        <v>86</v>
      </c>
      <c r="I17" s="2" t="s">
        <v>35</v>
      </c>
      <c r="J17" s="2" t="s">
        <v>25</v>
      </c>
      <c r="K17" s="7">
        <v>3</v>
      </c>
      <c r="L17" s="2" t="s">
        <v>71</v>
      </c>
      <c r="M17" s="2" t="s">
        <v>38</v>
      </c>
      <c r="N17" s="2" t="s">
        <v>39</v>
      </c>
      <c r="O17" s="2" t="s">
        <v>87</v>
      </c>
      <c r="P17" s="5" t="str">
        <f t="shared" si="0"/>
        <v>Sim</v>
      </c>
      <c r="Q17" s="6" t="str">
        <f t="shared" si="1"/>
        <v>Alta</v>
      </c>
    </row>
    <row r="18" spans="1:17" ht="48" customHeight="1" x14ac:dyDescent="0.3">
      <c r="A18" s="2">
        <v>14</v>
      </c>
      <c r="B18" s="2" t="s">
        <v>30</v>
      </c>
      <c r="C18" s="2"/>
      <c r="D18" s="2" t="s">
        <v>88</v>
      </c>
      <c r="E18" s="2" t="s">
        <v>89</v>
      </c>
      <c r="F18" s="2" t="s">
        <v>33</v>
      </c>
      <c r="G18" s="2" t="s">
        <v>33</v>
      </c>
      <c r="H18" s="3" t="s">
        <v>90</v>
      </c>
      <c r="I18" s="2" t="s">
        <v>24</v>
      </c>
      <c r="J18" s="2" t="s">
        <v>36</v>
      </c>
      <c r="K18" s="7">
        <v>3</v>
      </c>
      <c r="L18" s="2" t="s">
        <v>71</v>
      </c>
      <c r="M18" s="2" t="s">
        <v>38</v>
      </c>
      <c r="N18" s="2" t="s">
        <v>50</v>
      </c>
      <c r="O18" s="2" t="s">
        <v>91</v>
      </c>
      <c r="P18" s="5" t="str">
        <f t="shared" si="0"/>
        <v>Sim</v>
      </c>
      <c r="Q18" s="6" t="str">
        <f t="shared" si="1"/>
        <v>Alta</v>
      </c>
    </row>
    <row r="19" spans="1:17" ht="48" customHeight="1" x14ac:dyDescent="0.3">
      <c r="A19" s="2">
        <v>15</v>
      </c>
      <c r="B19" s="2" t="s">
        <v>30</v>
      </c>
      <c r="C19" s="2"/>
      <c r="D19" s="2" t="s">
        <v>120</v>
      </c>
      <c r="E19" s="2" t="s">
        <v>121</v>
      </c>
      <c r="F19" s="2" t="s">
        <v>33</v>
      </c>
      <c r="G19" s="2" t="s">
        <v>33</v>
      </c>
      <c r="H19" s="3" t="s">
        <v>122</v>
      </c>
      <c r="I19" s="2" t="s">
        <v>35</v>
      </c>
      <c r="J19" s="2" t="s">
        <v>25</v>
      </c>
      <c r="K19" s="7">
        <v>3</v>
      </c>
      <c r="L19" s="2" t="s">
        <v>71</v>
      </c>
      <c r="M19" s="2" t="s">
        <v>38</v>
      </c>
      <c r="N19" s="2" t="s">
        <v>65</v>
      </c>
      <c r="O19" s="2" t="s">
        <v>83</v>
      </c>
      <c r="P19" s="5" t="str">
        <f t="shared" si="0"/>
        <v>Sim</v>
      </c>
      <c r="Q19" s="6" t="str">
        <f t="shared" si="1"/>
        <v>Alta</v>
      </c>
    </row>
    <row r="20" spans="1:17" ht="48" customHeight="1" x14ac:dyDescent="0.3">
      <c r="A20" s="2">
        <v>16</v>
      </c>
      <c r="B20" s="2" t="s">
        <v>41</v>
      </c>
      <c r="C20" s="2">
        <v>2021</v>
      </c>
      <c r="D20" s="2" t="s">
        <v>58</v>
      </c>
      <c r="E20" s="2" t="s">
        <v>59</v>
      </c>
      <c r="F20" s="2" t="s">
        <v>60</v>
      </c>
      <c r="G20" s="2" t="s">
        <v>61</v>
      </c>
      <c r="H20" s="3" t="s">
        <v>62</v>
      </c>
      <c r="I20" s="2" t="s">
        <v>35</v>
      </c>
      <c r="J20" s="2" t="s">
        <v>63</v>
      </c>
      <c r="K20" s="5">
        <v>2</v>
      </c>
      <c r="L20" s="2" t="s">
        <v>64</v>
      </c>
      <c r="M20" s="2" t="s">
        <v>49</v>
      </c>
      <c r="N20" s="2" t="s">
        <v>65</v>
      </c>
      <c r="O20" s="2" t="s">
        <v>66</v>
      </c>
      <c r="P20" s="5" t="str">
        <f t="shared" si="0"/>
        <v>Não</v>
      </c>
      <c r="Q20" s="6" t="str">
        <f t="shared" si="1"/>
        <v>Média</v>
      </c>
    </row>
  </sheetData>
  <mergeCells count="2">
    <mergeCell ref="A2:Q2"/>
    <mergeCell ref="A1:Q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showGridLines="0" tabSelected="1" workbookViewId="0">
      <selection sqref="A1:D1"/>
    </sheetView>
  </sheetViews>
  <sheetFormatPr defaultRowHeight="14.4" x14ac:dyDescent="0.3"/>
  <cols>
    <col min="1" max="1" width="22" customWidth="1"/>
    <col min="2" max="2" width="58" customWidth="1"/>
    <col min="3" max="3" width="36" customWidth="1"/>
    <col min="4" max="4" width="8" customWidth="1"/>
  </cols>
  <sheetData>
    <row r="1" spans="1:4" ht="17.399999999999999" x14ac:dyDescent="0.35">
      <c r="A1" s="13" t="s">
        <v>156</v>
      </c>
      <c r="B1" s="11"/>
      <c r="C1" s="11"/>
      <c r="D1" s="11"/>
    </row>
    <row r="2" spans="1:4" x14ac:dyDescent="0.3">
      <c r="A2" s="8" t="s">
        <v>157</v>
      </c>
      <c r="B2" s="8" t="s">
        <v>158</v>
      </c>
      <c r="C2" s="8" t="s">
        <v>159</v>
      </c>
    </row>
    <row r="3" spans="1:4" x14ac:dyDescent="0.3">
      <c r="A3" t="s">
        <v>160</v>
      </c>
      <c r="B3" s="9">
        <f>COUNTA(Biblioteca_R1_R4!A:A)-3</f>
        <v>21</v>
      </c>
      <c r="C3" t="s">
        <v>161</v>
      </c>
    </row>
    <row r="4" spans="1:4" x14ac:dyDescent="0.3">
      <c r="A4" t="s">
        <v>162</v>
      </c>
      <c r="B4" s="9">
        <f>COUNTIF(Biblioteca_R1_R4!Q:Q,"Alta")</f>
        <v>15</v>
      </c>
      <c r="C4" t="s">
        <v>163</v>
      </c>
    </row>
    <row r="5" spans="1:4" x14ac:dyDescent="0.3">
      <c r="A5" t="s">
        <v>164</v>
      </c>
      <c r="B5" s="9">
        <f>COUNTIF(Biblioteca_R1_R4!Q:Q,"Média")</f>
        <v>1</v>
      </c>
      <c r="C5" t="s">
        <v>165</v>
      </c>
    </row>
    <row r="6" spans="1:4" x14ac:dyDescent="0.3">
      <c r="A6" t="s">
        <v>166</v>
      </c>
      <c r="B6" s="9">
        <f>COUNTIF(Biblioteca_R1_R4!Q:Q,"Baixa")</f>
        <v>5</v>
      </c>
      <c r="C6" t="s">
        <v>167</v>
      </c>
    </row>
    <row r="7" spans="1:4" x14ac:dyDescent="0.3">
      <c r="A7" t="s">
        <v>168</v>
      </c>
      <c r="B7" s="9">
        <f>COUNTIF(Biblioteca_R1_R4!P:P,"Sim")</f>
        <v>9</v>
      </c>
      <c r="C7" t="s">
        <v>169</v>
      </c>
    </row>
    <row r="9" spans="1:4" ht="43.2" x14ac:dyDescent="0.3">
      <c r="A9" s="10" t="s">
        <v>170</v>
      </c>
      <c r="B9" s="2" t="s">
        <v>171</v>
      </c>
    </row>
    <row r="10" spans="1:4" ht="43.95" customHeight="1" x14ac:dyDescent="0.3">
      <c r="A10" s="10" t="s">
        <v>172</v>
      </c>
      <c r="B10" s="2" t="s">
        <v>173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workbookViewId="0">
      <selection activeCell="A2" sqref="A2:D11"/>
    </sheetView>
  </sheetViews>
  <sheetFormatPr defaultRowHeight="14.4" x14ac:dyDescent="0.3"/>
  <cols>
    <col min="1" max="1" width="12" customWidth="1"/>
    <col min="2" max="2" width="28" customWidth="1"/>
    <col min="3" max="3" width="34" customWidth="1"/>
    <col min="4" max="4" width="44" customWidth="1"/>
  </cols>
  <sheetData>
    <row r="1" spans="1:4" ht="17.399999999999999" x14ac:dyDescent="0.35">
      <c r="A1" s="13" t="s">
        <v>174</v>
      </c>
      <c r="B1" s="11"/>
      <c r="C1" s="11"/>
      <c r="D1" s="11"/>
    </row>
    <row r="2" spans="1:4" x14ac:dyDescent="0.3">
      <c r="A2" s="17"/>
      <c r="B2" s="17"/>
      <c r="C2" s="17"/>
      <c r="D2" s="17"/>
    </row>
    <row r="3" spans="1:4" x14ac:dyDescent="0.3">
      <c r="A3" s="18" t="s">
        <v>175</v>
      </c>
      <c r="B3" s="18" t="s">
        <v>158</v>
      </c>
      <c r="C3" s="18" t="s">
        <v>176</v>
      </c>
      <c r="D3" s="18" t="s">
        <v>177</v>
      </c>
    </row>
    <row r="4" spans="1:4" ht="28.05" customHeight="1" x14ac:dyDescent="0.3">
      <c r="A4" s="19" t="s">
        <v>11</v>
      </c>
      <c r="B4" s="19" t="s">
        <v>178</v>
      </c>
      <c r="C4" s="19" t="s">
        <v>179</v>
      </c>
      <c r="D4" s="19" t="s">
        <v>180</v>
      </c>
    </row>
    <row r="5" spans="1:4" ht="28.05" customHeight="1" x14ac:dyDescent="0.3">
      <c r="A5" s="19" t="s">
        <v>11</v>
      </c>
      <c r="B5" s="19" t="s">
        <v>181</v>
      </c>
      <c r="C5" s="19" t="s">
        <v>182</v>
      </c>
      <c r="D5" s="19" t="s">
        <v>183</v>
      </c>
    </row>
    <row r="6" spans="1:4" ht="28.05" customHeight="1" x14ac:dyDescent="0.3">
      <c r="A6" s="19" t="s">
        <v>11</v>
      </c>
      <c r="B6" s="19" t="s">
        <v>184</v>
      </c>
      <c r="C6" s="19" t="s">
        <v>185</v>
      </c>
      <c r="D6" s="19" t="s">
        <v>186</v>
      </c>
    </row>
    <row r="7" spans="1:4" ht="28.05" customHeight="1" x14ac:dyDescent="0.3">
      <c r="A7" s="19" t="s">
        <v>187</v>
      </c>
      <c r="B7" s="19" t="s">
        <v>188</v>
      </c>
      <c r="C7" s="19" t="s">
        <v>189</v>
      </c>
      <c r="D7" s="19" t="s">
        <v>190</v>
      </c>
    </row>
    <row r="8" spans="1:4" ht="28.05" customHeight="1" x14ac:dyDescent="0.3">
      <c r="A8" s="19" t="s">
        <v>191</v>
      </c>
      <c r="B8" s="19" t="s">
        <v>50</v>
      </c>
      <c r="C8" s="19" t="s">
        <v>192</v>
      </c>
      <c r="D8" s="19" t="s">
        <v>193</v>
      </c>
    </row>
    <row r="9" spans="1:4" ht="28.05" customHeight="1" x14ac:dyDescent="0.3">
      <c r="A9" s="19" t="s">
        <v>191</v>
      </c>
      <c r="B9" s="19" t="s">
        <v>65</v>
      </c>
      <c r="C9" s="19" t="s">
        <v>194</v>
      </c>
      <c r="D9" s="19" t="s">
        <v>195</v>
      </c>
    </row>
    <row r="10" spans="1:4" ht="28.05" customHeight="1" x14ac:dyDescent="0.3">
      <c r="A10" s="19" t="s">
        <v>191</v>
      </c>
      <c r="B10" s="19" t="s">
        <v>28</v>
      </c>
      <c r="C10" s="19" t="s">
        <v>196</v>
      </c>
      <c r="D10" s="19" t="s">
        <v>197</v>
      </c>
    </row>
    <row r="11" spans="1:4" ht="28.05" customHeight="1" x14ac:dyDescent="0.3">
      <c r="A11" s="19" t="s">
        <v>191</v>
      </c>
      <c r="B11" s="19" t="s">
        <v>148</v>
      </c>
      <c r="C11" s="19" t="s">
        <v>198</v>
      </c>
      <c r="D11" s="19" t="s">
        <v>199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Biblioteca_R1_R4</vt:lpstr>
      <vt:lpstr>Itens_priorizados</vt:lpstr>
      <vt:lpstr>Resumo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Mauro Elsas</cp:lastModifiedBy>
  <dcterms:modified xsi:type="dcterms:W3CDTF">2026-03-08T15:07:14Z</dcterms:modified>
</cp:coreProperties>
</file>