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sem\iCloudDrive\2. Educação\1. UERJ\1. Oceanografia\Descomissionamento\"/>
    </mc:Choice>
  </mc:AlternateContent>
  <xr:revisionPtr revIDLastSave="0" documentId="8_{CB54958F-9AB6-4A47-8E50-2B6BEAC70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taformas em Operação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1" l="1"/>
  <c r="J74" i="1"/>
  <c r="J71" i="1"/>
  <c r="J66" i="1"/>
  <c r="J67" i="1"/>
  <c r="J72" i="1"/>
  <c r="J49" i="1"/>
  <c r="J36" i="1"/>
  <c r="J64" i="1"/>
  <c r="J73" i="1"/>
  <c r="J75" i="1"/>
  <c r="J68" i="1"/>
  <c r="J52" i="1"/>
  <c r="J38" i="1"/>
  <c r="J39" i="1"/>
  <c r="J65" i="1"/>
  <c r="J2" i="1"/>
  <c r="J54" i="1"/>
  <c r="J55" i="1"/>
  <c r="J21" i="1"/>
  <c r="J32" i="1"/>
  <c r="J26" i="1"/>
  <c r="J22" i="1"/>
  <c r="J42" i="1"/>
  <c r="J61" i="1"/>
  <c r="J76" i="1"/>
  <c r="J56" i="1"/>
  <c r="J57" i="1"/>
  <c r="J69" i="1"/>
  <c r="J58" i="1"/>
  <c r="J43" i="1"/>
  <c r="J40" i="1"/>
  <c r="J62" i="1"/>
  <c r="J15" i="1"/>
  <c r="J23" i="1"/>
  <c r="J19" i="1"/>
  <c r="J11" i="1"/>
  <c r="J18" i="1"/>
  <c r="J17" i="1"/>
  <c r="J20" i="1"/>
  <c r="J6" i="1"/>
  <c r="J44" i="1"/>
  <c r="J33" i="1"/>
  <c r="J34" i="1"/>
  <c r="J25" i="1"/>
  <c r="J16" i="1"/>
  <c r="J41" i="1"/>
  <c r="J14" i="1"/>
  <c r="J13" i="1"/>
  <c r="J59" i="1"/>
  <c r="J53" i="1"/>
  <c r="J50" i="1"/>
  <c r="J51" i="1"/>
  <c r="J60" i="1"/>
  <c r="J29" i="1"/>
  <c r="J37" i="1"/>
  <c r="J4" i="1"/>
  <c r="J27" i="1"/>
  <c r="J5" i="1"/>
  <c r="J30" i="1"/>
  <c r="J12" i="1"/>
  <c r="J7" i="1"/>
  <c r="J8" i="1"/>
  <c r="J3" i="1"/>
  <c r="J24" i="1"/>
  <c r="J45" i="1"/>
  <c r="J46" i="1"/>
  <c r="J9" i="1"/>
  <c r="J10" i="1"/>
  <c r="J48" i="1"/>
  <c r="J47" i="1"/>
  <c r="J28" i="1"/>
  <c r="J35" i="1"/>
  <c r="J70" i="1"/>
  <c r="J31" i="1"/>
</calcChain>
</file>

<file path=xl/sharedStrings.xml><?xml version="1.0" encoding="utf-8"?>
<sst xmlns="http://schemas.openxmlformats.org/spreadsheetml/2006/main" count="539" uniqueCount="231">
  <si>
    <t>Sigla</t>
  </si>
  <si>
    <t>Nome da Instalação</t>
  </si>
  <si>
    <t>Campo(s)</t>
  </si>
  <si>
    <t>Bacia</t>
  </si>
  <si>
    <t>Operador</t>
  </si>
  <si>
    <t>Tipo de Instalação</t>
  </si>
  <si>
    <t>Lâmina d’Água (m)</t>
  </si>
  <si>
    <t>Sistema de Escoamento</t>
  </si>
  <si>
    <t>Ano de Início de Operação</t>
  </si>
  <si>
    <t>Latitude</t>
  </si>
  <si>
    <t>Longitude</t>
  </si>
  <si>
    <t>Capacidade de Óleo (bbl/d)</t>
  </si>
  <si>
    <t>Capacidade de Gás (mil m³/d)</t>
  </si>
  <si>
    <t>PEREGRINO 1</t>
  </si>
  <si>
    <t>FPSO PEREGRINO</t>
  </si>
  <si>
    <t>PEREGRINO</t>
  </si>
  <si>
    <t>CAMPOS</t>
  </si>
  <si>
    <t>PRIO TIGRIS S.A</t>
  </si>
  <si>
    <t>Floating Production Storage Offloading - FPSO</t>
  </si>
  <si>
    <t>Navio Aliviador</t>
  </si>
  <si>
    <t>WHPC</t>
  </si>
  <si>
    <t>PEREGRINO C</t>
  </si>
  <si>
    <t>PEREGRINO / PITANGOLA</t>
  </si>
  <si>
    <t>Plataforma Fixa - Jaqueta</t>
  </si>
  <si>
    <t>Duto</t>
  </si>
  <si>
    <t>FPSO BACALHAU</t>
  </si>
  <si>
    <t>BACALHAU / BACALHAU NORTE</t>
  </si>
  <si>
    <t>SANTOS</t>
  </si>
  <si>
    <t>EQUINOR BRASIL ENERGIA LTDA.</t>
  </si>
  <si>
    <t>FPMQT</t>
  </si>
  <si>
    <t>FPSO MARIA QUITÉRIA</t>
  </si>
  <si>
    <t>AnC_Jubarte_Nordeste / AnC_Jubarte_Sudoeste / ARGONAUTA / JUBARTE</t>
  </si>
  <si>
    <t>PETRÓLEO BRASILEIRO S.A. - PETROBRAS</t>
  </si>
  <si>
    <t>Navio Aliviador e Duto</t>
  </si>
  <si>
    <t>FPAGA</t>
  </si>
  <si>
    <t>FPSO ANITA GARIBALDI</t>
  </si>
  <si>
    <t>ESPADIM / MARLIM / MARLIM SUL / VOADOR</t>
  </si>
  <si>
    <t>P-71</t>
  </si>
  <si>
    <t>PETROBRAS 71</t>
  </si>
  <si>
    <t>ITAPU / ITAPU_ECO</t>
  </si>
  <si>
    <t>FPSOATLANTA</t>
  </si>
  <si>
    <t>FPSO ATLANTA</t>
  </si>
  <si>
    <t>ATLANTA</t>
  </si>
  <si>
    <t>ENAUTA ENERGIA S.A.</t>
  </si>
  <si>
    <t>FPCCG</t>
  </si>
  <si>
    <t>FPSO CIDADE DE CARAGUATATUBA - CCG (MV-27)</t>
  </si>
  <si>
    <t>LAPA</t>
  </si>
  <si>
    <t>TOTALENERGIES EP BRASIL LTDA.</t>
  </si>
  <si>
    <t>FCDA</t>
  </si>
  <si>
    <t>FPSO CIDADE DE ANCHIETA</t>
  </si>
  <si>
    <t>FPGNB</t>
  </si>
  <si>
    <t>FPSO GUANABARA</t>
  </si>
  <si>
    <t>AnC_MERO / MERO</t>
  </si>
  <si>
    <t>FPMDC</t>
  </si>
  <si>
    <t>FPSO MARECHAL DUQUE DE CAXIAS</t>
  </si>
  <si>
    <t>FPADG</t>
  </si>
  <si>
    <t>FPSO ALEXANDRE DE GUSMÃO</t>
  </si>
  <si>
    <t>FPSTB</t>
  </si>
  <si>
    <t>FPSO SEPETIBA</t>
  </si>
  <si>
    <t>FPPL</t>
  </si>
  <si>
    <t>FPSO PIONEIRO DE LIBRA</t>
  </si>
  <si>
    <t>BRAVO</t>
  </si>
  <si>
    <t>FPSO BRAVO</t>
  </si>
  <si>
    <t>TUBARÃO MARTELO</t>
  </si>
  <si>
    <t>PRIO BRAVO LTDA.</t>
  </si>
  <si>
    <t>FPCI</t>
  </si>
  <si>
    <t>FPSO CIDADE DE ITAJAÍ</t>
  </si>
  <si>
    <t>BAÚNA</t>
  </si>
  <si>
    <t>KAROON PETRÓLEO E GÁS LTDA.</t>
  </si>
  <si>
    <t>FPSO_CRC</t>
  </si>
  <si>
    <t>FPSO CARIOCA</t>
  </si>
  <si>
    <t>SÉPIA / SÉPIA LESTE / SÉPIA_ECO</t>
  </si>
  <si>
    <t>P-65</t>
  </si>
  <si>
    <t>PLATAFORMA 65</t>
  </si>
  <si>
    <t>BONITO / ENCHOVA</t>
  </si>
  <si>
    <t>TRIDENT ENERGY DO BRASIL LTDA.</t>
  </si>
  <si>
    <t>Semissubmersível - SS</t>
  </si>
  <si>
    <t>P-68</t>
  </si>
  <si>
    <t>PETROBRAS 68</t>
  </si>
  <si>
    <t>BERBIGÃO / SUL DE BERBIGÃO</t>
  </si>
  <si>
    <t>FPCGZ</t>
  </si>
  <si>
    <t>FPSO CIDADE DE CAMPOS DOS GOYTACAZES</t>
  </si>
  <si>
    <t>ESPADARTE / TARTARUGA VERDE / TARTARUGA VERDE SUDOESTE</t>
  </si>
  <si>
    <t>PMNT</t>
  </si>
  <si>
    <t>PLATAFORMA DE MANATI</t>
  </si>
  <si>
    <t>MANATI</t>
  </si>
  <si>
    <t>CAMAMU</t>
  </si>
  <si>
    <t>PMXL-1</t>
  </si>
  <si>
    <t>PLATAFORMA DE MEXILHÃO</t>
  </si>
  <si>
    <t>MEXILHÃO</t>
  </si>
  <si>
    <t>FRADE</t>
  </si>
  <si>
    <t>FPSO FRADE</t>
  </si>
  <si>
    <t>PETRO RIO JAGUAR PETRÓLEO SA.</t>
  </si>
  <si>
    <t>POLVO A</t>
  </si>
  <si>
    <t>POLVO</t>
  </si>
  <si>
    <t>P-58</t>
  </si>
  <si>
    <t>PETROBRAS 58</t>
  </si>
  <si>
    <t>AnC_Jubarte_Nordeste / AnC_Jubarte_Sudoeste / ARGONAUTA / BALEIA ANÃ / JUBARTE</t>
  </si>
  <si>
    <t>P-77</t>
  </si>
  <si>
    <t>PETROBRAS 77</t>
  </si>
  <si>
    <t>BÚZIOS / BÚZIOS_ECO / TAMBUATÁ</t>
  </si>
  <si>
    <t>FPTAM</t>
  </si>
  <si>
    <t>FPSO ALMIRANTE TAMANDARE</t>
  </si>
  <si>
    <t>P-76</t>
  </si>
  <si>
    <t>PETROBRAS 76</t>
  </si>
  <si>
    <t>P-75</t>
  </si>
  <si>
    <t>PETROBRAS 75</t>
  </si>
  <si>
    <t>FPBAR</t>
  </si>
  <si>
    <t>FPSO ALMIRANTE BARROSO</t>
  </si>
  <si>
    <t>P-74</t>
  </si>
  <si>
    <t>PETROBRAS 74</t>
  </si>
  <si>
    <t>3R-2</t>
  </si>
  <si>
    <t>PLATAFORMA 3R-2</t>
  </si>
  <si>
    <t>PAPA-TERRA</t>
  </si>
  <si>
    <t>3R PETROLEUM OFFSHORE S.A.</t>
  </si>
  <si>
    <t>Tension Leg Platform - TLP</t>
  </si>
  <si>
    <t>3R-3</t>
  </si>
  <si>
    <t>PLATAFORMA 3R-3</t>
  </si>
  <si>
    <t>P-70</t>
  </si>
  <si>
    <t>PETROBRAS 70</t>
  </si>
  <si>
    <t>AnC_NORTE_ATAPU / ATAPU / ATAPU_ECO / OESTE DE ATAPU</t>
  </si>
  <si>
    <t>PARB1</t>
  </si>
  <si>
    <t>PLATAFORMA DE ARABAIANA 1</t>
  </si>
  <si>
    <t>ARABAIANA</t>
  </si>
  <si>
    <t>POTIGUAR</t>
  </si>
  <si>
    <t>Plataforma Fixa - Caisson</t>
  </si>
  <si>
    <t>CVIX</t>
  </si>
  <si>
    <t>FPSO CIDADE DE VITÓRIA</t>
  </si>
  <si>
    <t>GOLFINHO</t>
  </si>
  <si>
    <t>ESPÍRITO SANTO</t>
  </si>
  <si>
    <t>BW ENERGY MAROMBA DO BRASIL LTDA</t>
  </si>
  <si>
    <t>FORTE</t>
  </si>
  <si>
    <t>FPSO FORTE</t>
  </si>
  <si>
    <t>ALBACORA / ALBACORA LESTE</t>
  </si>
  <si>
    <t>P-08</t>
  </si>
  <si>
    <t>PLATAFORMA 08</t>
  </si>
  <si>
    <t>MARIMBÁ</t>
  </si>
  <si>
    <t>P-48</t>
  </si>
  <si>
    <t>PETROBRAS 48</t>
  </si>
  <si>
    <t>BARRACUDA / CARATINGA</t>
  </si>
  <si>
    <t>P-43</t>
  </si>
  <si>
    <t>PETROBRAS 43</t>
  </si>
  <si>
    <t>3R-1</t>
  </si>
  <si>
    <t>PLATAFORMA 3R-1</t>
  </si>
  <si>
    <t>PEROÁ</t>
  </si>
  <si>
    <t>PPG-1A</t>
  </si>
  <si>
    <t>PLATAFORMA DE PARGO 1A</t>
  </si>
  <si>
    <t>PARGO</t>
  </si>
  <si>
    <t>PERENCO PETRÓLEO E GÁS DO BRASIL LTDA.</t>
  </si>
  <si>
    <t>FPCIB</t>
  </si>
  <si>
    <t>FPSO CIDADE DE ILHABELA</t>
  </si>
  <si>
    <t>NORDESTE DE SAPINHOÁ / NOROESTE DE SAPINHOÁ / SAPINHOÁ / SUDOESTE DE SAPINHOÁ</t>
  </si>
  <si>
    <t>PEREGRINO A</t>
  </si>
  <si>
    <t>PEREGRINO B</t>
  </si>
  <si>
    <t>P-53</t>
  </si>
  <si>
    <t>PETROBRAS 53</t>
  </si>
  <si>
    <t>MARLIM LESTE</t>
  </si>
  <si>
    <t>P-40</t>
  </si>
  <si>
    <t>PETROBRAS 40</t>
  </si>
  <si>
    <t>MARLIM / MARLIM LESTE / MARLIM SUL</t>
  </si>
  <si>
    <t>FPCSP</t>
  </si>
  <si>
    <t>FPSO CIDADE DE SÃO PAULO</t>
  </si>
  <si>
    <t>PPE02</t>
  </si>
  <si>
    <t>PLATAFORMA DE PESCADA 2</t>
  </si>
  <si>
    <t>PESCADA</t>
  </si>
  <si>
    <t>PPE1B</t>
  </si>
  <si>
    <t>PLATAFORMA DE PESCADA 1B</t>
  </si>
  <si>
    <t>P-69</t>
  </si>
  <si>
    <t>PETROBRAS 69</t>
  </si>
  <si>
    <t>AnC_TUPI / SUL DE TUPI / TUPI</t>
  </si>
  <si>
    <t>P-66</t>
  </si>
  <si>
    <t>PETROBRAS 66</t>
  </si>
  <si>
    <t>FPCSQ</t>
  </si>
  <si>
    <t>FPSO CIDADE DE SAQUAREMA</t>
  </si>
  <si>
    <t>FPCMC</t>
  </si>
  <si>
    <t>FPSO CIDADE DE MARICÁ</t>
  </si>
  <si>
    <t>P-67</t>
  </si>
  <si>
    <t>PETROBRAS 67</t>
  </si>
  <si>
    <t>FPCAR</t>
  </si>
  <si>
    <t>FPSO CIDADE DE ANGRA DOS REIS</t>
  </si>
  <si>
    <t>FPCP</t>
  </si>
  <si>
    <t>FPSO CIDADE DE PARATY</t>
  </si>
  <si>
    <t>PPM-1</t>
  </si>
  <si>
    <t>PLATAFORMA DE PAMPO 1</t>
  </si>
  <si>
    <t>LINGUADO / PAMPO</t>
  </si>
  <si>
    <t>FPSO ESP SANTO</t>
  </si>
  <si>
    <t>FPSO ESPIRITO SANTO</t>
  </si>
  <si>
    <t>ABALONE / ARGONAUTA / OSTRA</t>
  </si>
  <si>
    <t>SHELL BRASIL PETRÓLEO LTDA.</t>
  </si>
  <si>
    <t>PGP-1</t>
  </si>
  <si>
    <t>PLATAFORMA DE GAROUPA</t>
  </si>
  <si>
    <t>GAROUPA</t>
  </si>
  <si>
    <t>P-57</t>
  </si>
  <si>
    <t>PETROBRAS 57</t>
  </si>
  <si>
    <t>JUBARTE</t>
  </si>
  <si>
    <t>PCP-III</t>
  </si>
  <si>
    <t>PLATAFORMA DE CARAPEBA 3</t>
  </si>
  <si>
    <t>CARAPEBA</t>
  </si>
  <si>
    <t>PCP-I</t>
  </si>
  <si>
    <t>PLATAFORMA DE CARAPEBA 1</t>
  </si>
  <si>
    <t>PCP-II</t>
  </si>
  <si>
    <t>PLATAFORMA DE CARAPEBA 2</t>
  </si>
  <si>
    <t>PCE-1</t>
  </si>
  <si>
    <t>PLATAFORMA DE ENCHOVA</t>
  </si>
  <si>
    <t>BONITO / ENCHOVA / ENCHOVA OESTE</t>
  </si>
  <si>
    <t>P-54</t>
  </si>
  <si>
    <t>PETROBRAS 54</t>
  </si>
  <si>
    <t>RONCADOR</t>
  </si>
  <si>
    <t>P-55</t>
  </si>
  <si>
    <t>PETROBRAS 55</t>
  </si>
  <si>
    <t>P-62</t>
  </si>
  <si>
    <t>PETROBRAS 62</t>
  </si>
  <si>
    <t>PVM-1</t>
  </si>
  <si>
    <t>PLATAFORMA DE VERMELHO 1</t>
  </si>
  <si>
    <t>VERMELHO</t>
  </si>
  <si>
    <t>PVM-3</t>
  </si>
  <si>
    <t>PLATAFORMA DE VERMELHO 3</t>
  </si>
  <si>
    <t>FPCIG</t>
  </si>
  <si>
    <t>FPSO CIDADE DE ITAGUAÍ</t>
  </si>
  <si>
    <t>TUPI</t>
  </si>
  <si>
    <t>FPCMB</t>
  </si>
  <si>
    <t>FPSO CIDADE DE MANGARATIBA</t>
  </si>
  <si>
    <t>P-51</t>
  </si>
  <si>
    <t>PETROBRAS 51</t>
  </si>
  <si>
    <t>MARLIM SUL</t>
  </si>
  <si>
    <t>P-56</t>
  </si>
  <si>
    <t>PETROBRAS 56</t>
  </si>
  <si>
    <t>FPANE</t>
  </si>
  <si>
    <t>FPSO ANNA NERY</t>
  </si>
  <si>
    <t>MARLIM / MARLIM SUL</t>
  </si>
  <si>
    <t>Fim das Vida útil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</si>
</sst>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workbookViewId="0">
      <pane ySplit="1" topLeftCell="A2" activePane="bottomLeft" state="frozen"/>
      <selection pane="bottomLeft" activeCell="A12" sqref="A2:D12"/>
    </sheetView>
  </sheetViews>
  <sheetFormatPr defaultRowHeight="14.4" x14ac:dyDescent="0.3"/>
  <cols>
    <col min="1" max="1" width="16" customWidth="1"/>
    <col min="2" max="2" width="44" customWidth="1"/>
    <col min="3" max="3" width="45" customWidth="1"/>
    <col min="4" max="4" width="14.6640625" bestFit="1" customWidth="1"/>
    <col min="5" max="5" width="40" customWidth="1"/>
    <col min="6" max="6" width="45" customWidth="1"/>
    <col min="7" max="7" width="17.21875" bestFit="1" customWidth="1"/>
    <col min="8" max="8" width="21.109375" bestFit="1" customWidth="1"/>
    <col min="9" max="9" width="23.44140625" bestFit="1" customWidth="1"/>
    <col min="10" max="10" width="23.44140625" customWidth="1"/>
    <col min="11" max="12" width="14" customWidth="1"/>
    <col min="13" max="13" width="28" customWidth="1"/>
    <col min="14" max="14" width="3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230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72</v>
      </c>
      <c r="B2" t="s">
        <v>73</v>
      </c>
      <c r="C2" t="s">
        <v>74</v>
      </c>
      <c r="D2" t="s">
        <v>16</v>
      </c>
      <c r="E2" t="s">
        <v>75</v>
      </c>
      <c r="F2" t="s">
        <v>76</v>
      </c>
      <c r="G2">
        <v>120</v>
      </c>
      <c r="H2" t="s">
        <v>24</v>
      </c>
      <c r="I2">
        <v>1966</v>
      </c>
      <c r="J2">
        <f t="shared" ref="J2:J33" si="0">I2+30</f>
        <v>1996</v>
      </c>
      <c r="K2">
        <v>-22.701836669999999</v>
      </c>
      <c r="L2">
        <v>-40.677106389999999</v>
      </c>
      <c r="M2">
        <v>33320</v>
      </c>
      <c r="N2">
        <v>49</v>
      </c>
    </row>
    <row r="3" spans="1:14" x14ac:dyDescent="0.3">
      <c r="A3" t="s">
        <v>202</v>
      </c>
      <c r="B3" t="s">
        <v>203</v>
      </c>
      <c r="C3" t="s">
        <v>204</v>
      </c>
      <c r="D3" t="s">
        <v>16</v>
      </c>
      <c r="E3" t="s">
        <v>75</v>
      </c>
      <c r="F3" t="s">
        <v>23</v>
      </c>
      <c r="G3">
        <v>116</v>
      </c>
      <c r="H3" t="s">
        <v>24</v>
      </c>
      <c r="I3">
        <v>1983</v>
      </c>
      <c r="J3">
        <f t="shared" si="0"/>
        <v>2013</v>
      </c>
      <c r="K3">
        <v>-22.708361669999999</v>
      </c>
      <c r="L3">
        <v>-40.693215000000002</v>
      </c>
      <c r="M3">
        <v>98121</v>
      </c>
      <c r="N3">
        <v>3895</v>
      </c>
    </row>
    <row r="4" spans="1:14" x14ac:dyDescent="0.3">
      <c r="A4" t="s">
        <v>182</v>
      </c>
      <c r="B4" t="s">
        <v>183</v>
      </c>
      <c r="C4" t="s">
        <v>184</v>
      </c>
      <c r="D4" t="s">
        <v>16</v>
      </c>
      <c r="E4" t="s">
        <v>75</v>
      </c>
      <c r="F4" t="s">
        <v>23</v>
      </c>
      <c r="G4">
        <v>115</v>
      </c>
      <c r="H4" t="s">
        <v>24</v>
      </c>
      <c r="I4">
        <v>1984</v>
      </c>
      <c r="J4">
        <f t="shared" si="0"/>
        <v>2014</v>
      </c>
      <c r="K4">
        <v>-22.798007500000001</v>
      </c>
      <c r="L4">
        <v>-40.762544439999999</v>
      </c>
      <c r="M4">
        <v>14300</v>
      </c>
      <c r="N4">
        <v>144</v>
      </c>
    </row>
    <row r="5" spans="1:14" x14ac:dyDescent="0.3">
      <c r="A5" t="s">
        <v>189</v>
      </c>
      <c r="B5" t="s">
        <v>190</v>
      </c>
      <c r="C5" t="s">
        <v>191</v>
      </c>
      <c r="D5" t="s">
        <v>16</v>
      </c>
      <c r="E5" t="s">
        <v>32</v>
      </c>
      <c r="F5" t="s">
        <v>23</v>
      </c>
      <c r="G5">
        <v>120</v>
      </c>
      <c r="H5" t="s">
        <v>24</v>
      </c>
      <c r="I5">
        <v>1984</v>
      </c>
      <c r="J5">
        <f t="shared" si="0"/>
        <v>2014</v>
      </c>
      <c r="K5">
        <v>-22.374779440000001</v>
      </c>
      <c r="L5">
        <v>-40.417454999999997</v>
      </c>
      <c r="M5">
        <v>57080</v>
      </c>
      <c r="N5">
        <v>3000</v>
      </c>
    </row>
    <row r="6" spans="1:14" x14ac:dyDescent="0.3">
      <c r="A6" t="s">
        <v>145</v>
      </c>
      <c r="B6" t="s">
        <v>146</v>
      </c>
      <c r="C6" t="s">
        <v>147</v>
      </c>
      <c r="D6" t="s">
        <v>16</v>
      </c>
      <c r="E6" t="s">
        <v>148</v>
      </c>
      <c r="F6" t="s">
        <v>23</v>
      </c>
      <c r="G6">
        <v>101</v>
      </c>
      <c r="H6" t="s">
        <v>24</v>
      </c>
      <c r="I6">
        <v>1988</v>
      </c>
      <c r="J6">
        <f t="shared" si="0"/>
        <v>2018</v>
      </c>
      <c r="K6">
        <v>-22.25555306</v>
      </c>
      <c r="L6">
        <v>-40.329949169999999</v>
      </c>
      <c r="M6">
        <v>30000</v>
      </c>
      <c r="N6">
        <v>170</v>
      </c>
    </row>
    <row r="7" spans="1:14" x14ac:dyDescent="0.3">
      <c r="A7" t="s">
        <v>198</v>
      </c>
      <c r="B7" t="s">
        <v>199</v>
      </c>
      <c r="C7" t="s">
        <v>197</v>
      </c>
      <c r="D7" t="s">
        <v>16</v>
      </c>
      <c r="E7" t="s">
        <v>148</v>
      </c>
      <c r="F7" t="s">
        <v>23</v>
      </c>
      <c r="G7">
        <v>86</v>
      </c>
      <c r="H7" t="s">
        <v>24</v>
      </c>
      <c r="I7">
        <v>1988</v>
      </c>
      <c r="J7">
        <f t="shared" si="0"/>
        <v>2018</v>
      </c>
      <c r="K7">
        <v>-22.245086390000001</v>
      </c>
      <c r="L7">
        <v>-40.443032219999999</v>
      </c>
    </row>
    <row r="8" spans="1:14" x14ac:dyDescent="0.3">
      <c r="A8" t="s">
        <v>200</v>
      </c>
      <c r="B8" t="s">
        <v>201</v>
      </c>
      <c r="C8" t="s">
        <v>197</v>
      </c>
      <c r="D8" t="s">
        <v>16</v>
      </c>
      <c r="E8" t="s">
        <v>148</v>
      </c>
      <c r="F8" t="s">
        <v>23</v>
      </c>
      <c r="G8">
        <v>87</v>
      </c>
      <c r="H8" t="s">
        <v>24</v>
      </c>
      <c r="I8">
        <v>1988</v>
      </c>
      <c r="J8">
        <f t="shared" si="0"/>
        <v>2018</v>
      </c>
      <c r="K8">
        <v>-22.23357944</v>
      </c>
      <c r="L8">
        <v>-40.415244999999999</v>
      </c>
    </row>
    <row r="9" spans="1:14" x14ac:dyDescent="0.3">
      <c r="A9" t="s">
        <v>212</v>
      </c>
      <c r="B9" t="s">
        <v>213</v>
      </c>
      <c r="C9" t="s">
        <v>214</v>
      </c>
      <c r="D9" t="s">
        <v>16</v>
      </c>
      <c r="E9" t="s">
        <v>148</v>
      </c>
      <c r="F9" t="s">
        <v>23</v>
      </c>
      <c r="G9">
        <v>80</v>
      </c>
      <c r="H9" t="s">
        <v>24</v>
      </c>
      <c r="I9">
        <v>1989</v>
      </c>
      <c r="J9">
        <f t="shared" si="0"/>
        <v>2019</v>
      </c>
      <c r="K9">
        <v>-22.160660279999998</v>
      </c>
      <c r="L9">
        <v>-40.278717499999999</v>
      </c>
    </row>
    <row r="10" spans="1:14" x14ac:dyDescent="0.3">
      <c r="A10" t="s">
        <v>215</v>
      </c>
      <c r="B10" t="s">
        <v>216</v>
      </c>
      <c r="C10" t="s">
        <v>214</v>
      </c>
      <c r="D10" t="s">
        <v>16</v>
      </c>
      <c r="E10" t="s">
        <v>148</v>
      </c>
      <c r="F10" t="s">
        <v>23</v>
      </c>
      <c r="G10">
        <v>82</v>
      </c>
      <c r="H10" t="s">
        <v>24</v>
      </c>
      <c r="I10">
        <v>1989</v>
      </c>
      <c r="J10">
        <f t="shared" si="0"/>
        <v>2019</v>
      </c>
      <c r="K10">
        <v>-22.189705</v>
      </c>
      <c r="L10">
        <v>-40.30321833</v>
      </c>
    </row>
    <row r="11" spans="1:14" x14ac:dyDescent="0.3">
      <c r="A11" t="s">
        <v>134</v>
      </c>
      <c r="B11" t="s">
        <v>135</v>
      </c>
      <c r="C11" t="s">
        <v>136</v>
      </c>
      <c r="D11" t="s">
        <v>16</v>
      </c>
      <c r="E11" t="s">
        <v>75</v>
      </c>
      <c r="F11" t="s">
        <v>76</v>
      </c>
      <c r="G11">
        <v>423</v>
      </c>
      <c r="H11" t="s">
        <v>24</v>
      </c>
      <c r="I11">
        <v>1993</v>
      </c>
      <c r="J11">
        <f t="shared" si="0"/>
        <v>2023</v>
      </c>
      <c r="K11">
        <v>-22.673086940000001</v>
      </c>
      <c r="L11">
        <v>-40.54650556</v>
      </c>
    </row>
    <row r="12" spans="1:14" x14ac:dyDescent="0.3">
      <c r="A12" t="s">
        <v>195</v>
      </c>
      <c r="B12" t="s">
        <v>196</v>
      </c>
      <c r="C12" t="s">
        <v>197</v>
      </c>
      <c r="D12" t="s">
        <v>16</v>
      </c>
      <c r="E12" t="s">
        <v>148</v>
      </c>
      <c r="F12" t="s">
        <v>23</v>
      </c>
      <c r="G12">
        <v>86</v>
      </c>
      <c r="H12" t="s">
        <v>24</v>
      </c>
      <c r="I12">
        <v>1994</v>
      </c>
      <c r="J12">
        <f t="shared" si="0"/>
        <v>2024</v>
      </c>
      <c r="K12">
        <v>-22.24496611</v>
      </c>
      <c r="L12">
        <v>-40.44234222</v>
      </c>
    </row>
    <row r="13" spans="1:14" x14ac:dyDescent="0.3">
      <c r="A13" t="s">
        <v>165</v>
      </c>
      <c r="B13" t="s">
        <v>166</v>
      </c>
      <c r="C13" t="s">
        <v>164</v>
      </c>
      <c r="D13" t="s">
        <v>124</v>
      </c>
      <c r="E13" t="s">
        <v>32</v>
      </c>
      <c r="F13" t="s">
        <v>125</v>
      </c>
      <c r="G13">
        <v>17</v>
      </c>
      <c r="H13" t="s">
        <v>24</v>
      </c>
      <c r="I13">
        <v>1998</v>
      </c>
      <c r="J13">
        <f t="shared" si="0"/>
        <v>2028</v>
      </c>
      <c r="K13">
        <v>-4.7045083300000003</v>
      </c>
      <c r="L13">
        <v>-36.825634999999998</v>
      </c>
    </row>
    <row r="14" spans="1:14" x14ac:dyDescent="0.3">
      <c r="A14" t="s">
        <v>162</v>
      </c>
      <c r="B14" t="s">
        <v>163</v>
      </c>
      <c r="C14" t="s">
        <v>164</v>
      </c>
      <c r="D14" t="s">
        <v>124</v>
      </c>
      <c r="E14" t="s">
        <v>32</v>
      </c>
      <c r="F14" t="s">
        <v>125</v>
      </c>
      <c r="G14">
        <v>17</v>
      </c>
      <c r="H14" t="s">
        <v>24</v>
      </c>
      <c r="I14">
        <v>1999</v>
      </c>
      <c r="J14">
        <f t="shared" si="0"/>
        <v>2029</v>
      </c>
      <c r="K14">
        <v>-4.7184180600000003</v>
      </c>
      <c r="L14">
        <v>-36.835794440000001</v>
      </c>
    </row>
    <row r="15" spans="1:14" x14ac:dyDescent="0.3">
      <c r="A15" t="s">
        <v>121</v>
      </c>
      <c r="B15" t="s">
        <v>122</v>
      </c>
      <c r="C15" t="s">
        <v>123</v>
      </c>
      <c r="D15" t="s">
        <v>124</v>
      </c>
      <c r="E15" t="s">
        <v>32</v>
      </c>
      <c r="F15" t="s">
        <v>125</v>
      </c>
      <c r="G15">
        <v>30</v>
      </c>
      <c r="H15" t="s">
        <v>24</v>
      </c>
      <c r="I15">
        <v>2001</v>
      </c>
      <c r="J15">
        <f t="shared" si="0"/>
        <v>2031</v>
      </c>
      <c r="K15">
        <v>-4.6947702800000002</v>
      </c>
      <c r="L15">
        <v>-36.724556389999996</v>
      </c>
    </row>
    <row r="16" spans="1:14" x14ac:dyDescent="0.3">
      <c r="A16" t="s">
        <v>157</v>
      </c>
      <c r="B16" t="s">
        <v>158</v>
      </c>
      <c r="C16" t="s">
        <v>159</v>
      </c>
      <c r="D16" t="s">
        <v>16</v>
      </c>
      <c r="E16" t="s">
        <v>32</v>
      </c>
      <c r="F16" t="s">
        <v>76</v>
      </c>
      <c r="G16">
        <v>1080</v>
      </c>
      <c r="H16" t="s">
        <v>24</v>
      </c>
      <c r="I16">
        <v>2001</v>
      </c>
      <c r="J16">
        <f t="shared" si="0"/>
        <v>2031</v>
      </c>
      <c r="K16">
        <v>-22.54742194</v>
      </c>
      <c r="L16">
        <v>-40.067443060000002</v>
      </c>
      <c r="M16">
        <v>202846</v>
      </c>
      <c r="N16">
        <v>6000</v>
      </c>
    </row>
    <row r="17" spans="1:14" x14ac:dyDescent="0.3">
      <c r="A17" t="s">
        <v>140</v>
      </c>
      <c r="B17" t="s">
        <v>141</v>
      </c>
      <c r="C17" t="s">
        <v>139</v>
      </c>
      <c r="D17" t="s">
        <v>16</v>
      </c>
      <c r="E17" t="s">
        <v>32</v>
      </c>
      <c r="F17" t="s">
        <v>18</v>
      </c>
      <c r="G17">
        <v>800</v>
      </c>
      <c r="H17" t="s">
        <v>19</v>
      </c>
      <c r="I17">
        <v>2004</v>
      </c>
      <c r="J17">
        <f t="shared" si="0"/>
        <v>2034</v>
      </c>
      <c r="K17">
        <v>-22.55011</v>
      </c>
      <c r="L17">
        <v>-40.259448890000002</v>
      </c>
      <c r="M17">
        <v>174000</v>
      </c>
      <c r="N17">
        <v>6000</v>
      </c>
    </row>
    <row r="18" spans="1:14" x14ac:dyDescent="0.3">
      <c r="A18" t="s">
        <v>137</v>
      </c>
      <c r="B18" t="s">
        <v>138</v>
      </c>
      <c r="C18" t="s">
        <v>139</v>
      </c>
      <c r="D18" t="s">
        <v>16</v>
      </c>
      <c r="E18" t="s">
        <v>32</v>
      </c>
      <c r="F18" t="s">
        <v>18</v>
      </c>
      <c r="G18">
        <v>1032</v>
      </c>
      <c r="H18" t="s">
        <v>19</v>
      </c>
      <c r="I18">
        <v>2005</v>
      </c>
      <c r="J18">
        <f t="shared" si="0"/>
        <v>2035</v>
      </c>
      <c r="K18">
        <v>-22.663883890000001</v>
      </c>
      <c r="L18">
        <v>-40.240188889999999</v>
      </c>
      <c r="M18">
        <v>150000</v>
      </c>
      <c r="N18">
        <v>6000</v>
      </c>
    </row>
    <row r="19" spans="1:14" x14ac:dyDescent="0.3">
      <c r="A19" t="s">
        <v>131</v>
      </c>
      <c r="B19" t="s">
        <v>132</v>
      </c>
      <c r="C19" t="s">
        <v>133</v>
      </c>
      <c r="D19" t="s">
        <v>16</v>
      </c>
      <c r="E19" t="s">
        <v>92</v>
      </c>
      <c r="F19" t="s">
        <v>18</v>
      </c>
      <c r="G19">
        <v>1230</v>
      </c>
      <c r="H19" t="s">
        <v>19</v>
      </c>
      <c r="I19">
        <v>2006</v>
      </c>
      <c r="J19">
        <f t="shared" si="0"/>
        <v>2036</v>
      </c>
      <c r="K19">
        <v>-22.086387779999999</v>
      </c>
      <c r="L19">
        <v>-39.827998610000002</v>
      </c>
      <c r="M19">
        <v>180000</v>
      </c>
      <c r="N19">
        <v>6000</v>
      </c>
    </row>
    <row r="20" spans="1:14" x14ac:dyDescent="0.3">
      <c r="A20" t="s">
        <v>142</v>
      </c>
      <c r="B20" t="s">
        <v>143</v>
      </c>
      <c r="C20" t="s">
        <v>144</v>
      </c>
      <c r="D20" t="s">
        <v>129</v>
      </c>
      <c r="E20" t="s">
        <v>114</v>
      </c>
      <c r="F20" t="s">
        <v>23</v>
      </c>
      <c r="G20">
        <v>67</v>
      </c>
      <c r="H20" t="s">
        <v>24</v>
      </c>
      <c r="I20">
        <v>2006</v>
      </c>
      <c r="J20">
        <f t="shared" si="0"/>
        <v>2036</v>
      </c>
      <c r="K20">
        <v>-19.562783329999998</v>
      </c>
      <c r="L20">
        <v>-39.255283329999997</v>
      </c>
    </row>
    <row r="21" spans="1:14" x14ac:dyDescent="0.3">
      <c r="A21" t="s">
        <v>83</v>
      </c>
      <c r="B21" t="s">
        <v>84</v>
      </c>
      <c r="C21" t="s">
        <v>85</v>
      </c>
      <c r="D21" t="s">
        <v>86</v>
      </c>
      <c r="E21" t="s">
        <v>32</v>
      </c>
      <c r="F21" t="s">
        <v>23</v>
      </c>
      <c r="G21">
        <v>35</v>
      </c>
      <c r="H21" t="s">
        <v>24</v>
      </c>
      <c r="I21">
        <v>2007</v>
      </c>
      <c r="J21">
        <f t="shared" si="0"/>
        <v>2037</v>
      </c>
      <c r="K21">
        <v>-13.48997389</v>
      </c>
      <c r="L21">
        <v>-38.812313330000002</v>
      </c>
      <c r="N21">
        <v>6</v>
      </c>
    </row>
    <row r="22" spans="1:14" x14ac:dyDescent="0.3">
      <c r="A22" t="s">
        <v>93</v>
      </c>
      <c r="B22" t="s">
        <v>93</v>
      </c>
      <c r="C22" t="s">
        <v>94</v>
      </c>
      <c r="D22" t="s">
        <v>16</v>
      </c>
      <c r="E22" t="s">
        <v>64</v>
      </c>
      <c r="F22" t="s">
        <v>23</v>
      </c>
      <c r="G22">
        <v>105</v>
      </c>
      <c r="H22" t="s">
        <v>24</v>
      </c>
      <c r="I22">
        <v>2007</v>
      </c>
      <c r="J22">
        <f t="shared" si="0"/>
        <v>2037</v>
      </c>
      <c r="K22">
        <v>-23.083813889999998</v>
      </c>
      <c r="L22">
        <v>-40.995429170000001</v>
      </c>
    </row>
    <row r="23" spans="1:14" x14ac:dyDescent="0.3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18</v>
      </c>
      <c r="G23">
        <v>1386</v>
      </c>
      <c r="H23" t="s">
        <v>19</v>
      </c>
      <c r="I23">
        <v>2007</v>
      </c>
      <c r="J23">
        <f t="shared" si="0"/>
        <v>2037</v>
      </c>
      <c r="K23">
        <v>-20.042777780000002</v>
      </c>
      <c r="L23">
        <v>-39.525555560000001</v>
      </c>
      <c r="M23">
        <v>100637</v>
      </c>
      <c r="N23">
        <v>3500</v>
      </c>
    </row>
    <row r="24" spans="1:14" x14ac:dyDescent="0.3">
      <c r="A24" t="s">
        <v>205</v>
      </c>
      <c r="B24" t="s">
        <v>206</v>
      </c>
      <c r="C24" t="s">
        <v>207</v>
      </c>
      <c r="D24" t="s">
        <v>16</v>
      </c>
      <c r="E24" t="s">
        <v>32</v>
      </c>
      <c r="F24" t="s">
        <v>18</v>
      </c>
      <c r="G24">
        <v>1400</v>
      </c>
      <c r="H24" t="s">
        <v>19</v>
      </c>
      <c r="I24">
        <v>2007</v>
      </c>
      <c r="J24">
        <f t="shared" si="0"/>
        <v>2037</v>
      </c>
      <c r="K24">
        <v>-21.969113889999999</v>
      </c>
      <c r="L24">
        <v>-39.825302780000001</v>
      </c>
      <c r="M24">
        <v>190000</v>
      </c>
      <c r="N24">
        <v>4000</v>
      </c>
    </row>
    <row r="25" spans="1:14" x14ac:dyDescent="0.3">
      <c r="A25" t="s">
        <v>154</v>
      </c>
      <c r="B25" t="s">
        <v>155</v>
      </c>
      <c r="C25" t="s">
        <v>156</v>
      </c>
      <c r="D25" t="s">
        <v>16</v>
      </c>
      <c r="E25" t="s">
        <v>32</v>
      </c>
      <c r="F25" t="s">
        <v>18</v>
      </c>
      <c r="G25">
        <v>1068</v>
      </c>
      <c r="H25" t="s">
        <v>24</v>
      </c>
      <c r="I25">
        <v>2008</v>
      </c>
      <c r="J25">
        <f t="shared" si="0"/>
        <v>2038</v>
      </c>
      <c r="K25">
        <v>-22.42401667</v>
      </c>
      <c r="L25">
        <v>-39.957666670000002</v>
      </c>
      <c r="M25">
        <v>180000</v>
      </c>
      <c r="N25">
        <v>6000</v>
      </c>
    </row>
    <row r="26" spans="1:14" x14ac:dyDescent="0.3">
      <c r="A26" t="s">
        <v>90</v>
      </c>
      <c r="B26" t="s">
        <v>91</v>
      </c>
      <c r="C26" t="s">
        <v>90</v>
      </c>
      <c r="D26" t="s">
        <v>16</v>
      </c>
      <c r="E26" t="s">
        <v>92</v>
      </c>
      <c r="F26" t="s">
        <v>18</v>
      </c>
      <c r="G26">
        <v>0</v>
      </c>
      <c r="H26" t="s">
        <v>19</v>
      </c>
      <c r="I26">
        <v>2009</v>
      </c>
      <c r="J26">
        <f t="shared" si="0"/>
        <v>2039</v>
      </c>
      <c r="K26">
        <v>-21.883333329999999</v>
      </c>
      <c r="L26">
        <v>-39.851388890000003</v>
      </c>
      <c r="M26">
        <v>100000</v>
      </c>
      <c r="N26">
        <v>3</v>
      </c>
    </row>
    <row r="27" spans="1:14" x14ac:dyDescent="0.3">
      <c r="A27" t="s">
        <v>185</v>
      </c>
      <c r="B27" t="s">
        <v>186</v>
      </c>
      <c r="C27" t="s">
        <v>187</v>
      </c>
      <c r="D27" t="s">
        <v>16</v>
      </c>
      <c r="E27" t="s">
        <v>188</v>
      </c>
      <c r="F27" t="s">
        <v>18</v>
      </c>
      <c r="G27">
        <v>1780</v>
      </c>
      <c r="H27" t="s">
        <v>19</v>
      </c>
      <c r="I27">
        <v>2009</v>
      </c>
      <c r="J27">
        <f t="shared" si="0"/>
        <v>2039</v>
      </c>
      <c r="K27">
        <v>-21.208570559999998</v>
      </c>
      <c r="L27">
        <v>-39.742714720000002</v>
      </c>
      <c r="M27">
        <v>100000</v>
      </c>
      <c r="N27">
        <v>177</v>
      </c>
    </row>
    <row r="28" spans="1:14" x14ac:dyDescent="0.3">
      <c r="A28" t="s">
        <v>222</v>
      </c>
      <c r="B28" t="s">
        <v>223</v>
      </c>
      <c r="C28" t="s">
        <v>224</v>
      </c>
      <c r="D28" t="s">
        <v>16</v>
      </c>
      <c r="E28" t="s">
        <v>32</v>
      </c>
      <c r="F28" t="s">
        <v>76</v>
      </c>
      <c r="G28">
        <v>1260</v>
      </c>
      <c r="H28" t="s">
        <v>24</v>
      </c>
      <c r="I28">
        <v>2009</v>
      </c>
      <c r="J28">
        <f t="shared" si="0"/>
        <v>2039</v>
      </c>
      <c r="K28">
        <v>-22.634402779999999</v>
      </c>
      <c r="L28">
        <v>-40.093637219999998</v>
      </c>
      <c r="M28">
        <v>180000</v>
      </c>
      <c r="N28">
        <v>6000</v>
      </c>
    </row>
    <row r="29" spans="1:14" x14ac:dyDescent="0.3">
      <c r="A29" t="s">
        <v>178</v>
      </c>
      <c r="B29" t="s">
        <v>179</v>
      </c>
      <c r="C29" t="s">
        <v>169</v>
      </c>
      <c r="D29" t="s">
        <v>27</v>
      </c>
      <c r="E29" t="s">
        <v>32</v>
      </c>
      <c r="F29" t="s">
        <v>18</v>
      </c>
      <c r="G29">
        <v>2140</v>
      </c>
      <c r="H29" t="s">
        <v>19</v>
      </c>
      <c r="I29">
        <v>2010</v>
      </c>
      <c r="J29">
        <f t="shared" si="0"/>
        <v>2040</v>
      </c>
      <c r="K29">
        <v>-25.544816669999999</v>
      </c>
      <c r="L29">
        <v>-42.840213890000001</v>
      </c>
      <c r="M29">
        <v>100637</v>
      </c>
      <c r="N29">
        <v>5000</v>
      </c>
    </row>
    <row r="30" spans="1:14" x14ac:dyDescent="0.3">
      <c r="A30" t="s">
        <v>192</v>
      </c>
      <c r="B30" t="s">
        <v>193</v>
      </c>
      <c r="C30" t="s">
        <v>194</v>
      </c>
      <c r="D30" t="s">
        <v>16</v>
      </c>
      <c r="E30" t="s">
        <v>32</v>
      </c>
      <c r="F30" t="s">
        <v>18</v>
      </c>
      <c r="G30">
        <v>1258</v>
      </c>
      <c r="H30" t="s">
        <v>19</v>
      </c>
      <c r="I30">
        <v>2010</v>
      </c>
      <c r="J30">
        <f t="shared" si="0"/>
        <v>2040</v>
      </c>
      <c r="K30">
        <v>-21.240011110000001</v>
      </c>
      <c r="L30">
        <v>-40.04807778</v>
      </c>
      <c r="M30">
        <v>180000</v>
      </c>
      <c r="N30">
        <v>2000</v>
      </c>
    </row>
    <row r="31" spans="1:14" x14ac:dyDescent="0.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>
        <v>98</v>
      </c>
      <c r="H31" t="s">
        <v>19</v>
      </c>
      <c r="I31">
        <v>2011</v>
      </c>
      <c r="J31">
        <f t="shared" si="0"/>
        <v>2041</v>
      </c>
      <c r="K31">
        <v>-23.31725556</v>
      </c>
      <c r="L31">
        <v>-41.25740278</v>
      </c>
      <c r="M31">
        <v>18239</v>
      </c>
      <c r="N31">
        <v>364</v>
      </c>
    </row>
    <row r="32" spans="1:14" x14ac:dyDescent="0.3">
      <c r="A32" t="s">
        <v>87</v>
      </c>
      <c r="B32" t="s">
        <v>88</v>
      </c>
      <c r="C32" t="s">
        <v>89</v>
      </c>
      <c r="D32" t="s">
        <v>27</v>
      </c>
      <c r="E32" t="s">
        <v>32</v>
      </c>
      <c r="F32" t="s">
        <v>23</v>
      </c>
      <c r="G32">
        <v>172</v>
      </c>
      <c r="H32" t="s">
        <v>24</v>
      </c>
      <c r="I32">
        <v>2011</v>
      </c>
      <c r="J32">
        <f t="shared" si="0"/>
        <v>2041</v>
      </c>
      <c r="K32">
        <v>-24.353163890000001</v>
      </c>
      <c r="L32">
        <v>-44.382813609999999</v>
      </c>
      <c r="M32">
        <v>19554</v>
      </c>
      <c r="N32">
        <v>150000</v>
      </c>
    </row>
    <row r="33" spans="1:14" x14ac:dyDescent="0.3">
      <c r="A33" t="s">
        <v>152</v>
      </c>
      <c r="B33" t="s">
        <v>152</v>
      </c>
      <c r="C33" t="s">
        <v>15</v>
      </c>
      <c r="D33" t="s">
        <v>16</v>
      </c>
      <c r="E33" t="s">
        <v>17</v>
      </c>
      <c r="F33" t="s">
        <v>23</v>
      </c>
      <c r="G33">
        <v>105</v>
      </c>
      <c r="H33" t="s">
        <v>24</v>
      </c>
      <c r="I33">
        <v>2011</v>
      </c>
      <c r="J33">
        <f t="shared" si="0"/>
        <v>2041</v>
      </c>
      <c r="K33">
        <v>-23.333838889999999</v>
      </c>
      <c r="L33">
        <v>-41.297972219999998</v>
      </c>
    </row>
    <row r="34" spans="1:14" x14ac:dyDescent="0.3">
      <c r="A34" t="s">
        <v>153</v>
      </c>
      <c r="B34" t="s">
        <v>153</v>
      </c>
      <c r="C34" t="s">
        <v>15</v>
      </c>
      <c r="D34" t="s">
        <v>16</v>
      </c>
      <c r="E34" t="s">
        <v>17</v>
      </c>
      <c r="F34" t="s">
        <v>23</v>
      </c>
      <c r="G34">
        <v>121</v>
      </c>
      <c r="H34" t="s">
        <v>24</v>
      </c>
      <c r="I34">
        <v>2011</v>
      </c>
      <c r="J34">
        <f t="shared" ref="J34:J65" si="1">I34+30</f>
        <v>2041</v>
      </c>
      <c r="K34">
        <v>-23.295416670000002</v>
      </c>
      <c r="L34">
        <v>-41.20739167</v>
      </c>
    </row>
    <row r="35" spans="1:14" x14ac:dyDescent="0.3">
      <c r="A35" t="s">
        <v>225</v>
      </c>
      <c r="B35" t="s">
        <v>226</v>
      </c>
      <c r="C35" t="s">
        <v>224</v>
      </c>
      <c r="D35" t="s">
        <v>16</v>
      </c>
      <c r="E35" t="s">
        <v>32</v>
      </c>
      <c r="F35" t="s">
        <v>76</v>
      </c>
      <c r="G35">
        <v>1645</v>
      </c>
      <c r="H35" t="s">
        <v>24</v>
      </c>
      <c r="I35">
        <v>2011</v>
      </c>
      <c r="J35">
        <f t="shared" si="1"/>
        <v>2041</v>
      </c>
      <c r="K35">
        <v>-22.62404167</v>
      </c>
      <c r="L35">
        <v>-39.989483329999999</v>
      </c>
      <c r="M35">
        <v>141000</v>
      </c>
      <c r="N35">
        <v>6000</v>
      </c>
    </row>
    <row r="36" spans="1:14" x14ac:dyDescent="0.3">
      <c r="A36" t="s">
        <v>48</v>
      </c>
      <c r="B36" t="s">
        <v>49</v>
      </c>
      <c r="C36" t="s">
        <v>31</v>
      </c>
      <c r="D36" t="s">
        <v>16</v>
      </c>
      <c r="E36" t="s">
        <v>32</v>
      </c>
      <c r="F36" t="s">
        <v>18</v>
      </c>
      <c r="G36">
        <v>1221</v>
      </c>
      <c r="H36" t="s">
        <v>19</v>
      </c>
      <c r="I36">
        <v>2012</v>
      </c>
      <c r="J36">
        <f t="shared" si="1"/>
        <v>2042</v>
      </c>
      <c r="K36">
        <v>-21.337566670000001</v>
      </c>
      <c r="L36">
        <v>-40.057202779999997</v>
      </c>
      <c r="M36">
        <v>100000</v>
      </c>
      <c r="N36">
        <v>3500</v>
      </c>
    </row>
    <row r="37" spans="1:14" x14ac:dyDescent="0.3">
      <c r="A37" t="s">
        <v>180</v>
      </c>
      <c r="B37" t="s">
        <v>181</v>
      </c>
      <c r="C37" t="s">
        <v>169</v>
      </c>
      <c r="D37" t="s">
        <v>27</v>
      </c>
      <c r="E37" t="s">
        <v>32</v>
      </c>
      <c r="F37" t="s">
        <v>18</v>
      </c>
      <c r="G37">
        <v>2120</v>
      </c>
      <c r="H37" t="s">
        <v>19</v>
      </c>
      <c r="I37">
        <v>2012</v>
      </c>
      <c r="J37">
        <f t="shared" si="1"/>
        <v>2042</v>
      </c>
      <c r="K37">
        <v>-25.394372220000001</v>
      </c>
      <c r="L37">
        <v>-42.761802779999996</v>
      </c>
      <c r="M37">
        <v>120139</v>
      </c>
      <c r="N37">
        <v>5000</v>
      </c>
    </row>
    <row r="38" spans="1:14" x14ac:dyDescent="0.3">
      <c r="A38" t="s">
        <v>61</v>
      </c>
      <c r="B38" t="s">
        <v>62</v>
      </c>
      <c r="C38" t="s">
        <v>63</v>
      </c>
      <c r="D38" t="s">
        <v>16</v>
      </c>
      <c r="E38" t="s">
        <v>64</v>
      </c>
      <c r="F38" t="s">
        <v>18</v>
      </c>
      <c r="G38">
        <v>105</v>
      </c>
      <c r="H38" t="s">
        <v>19</v>
      </c>
      <c r="I38">
        <v>2013</v>
      </c>
      <c r="J38">
        <f t="shared" si="1"/>
        <v>2043</v>
      </c>
      <c r="K38">
        <v>-23.135822220000001</v>
      </c>
      <c r="L38">
        <v>-41.073530560000002</v>
      </c>
      <c r="M38">
        <v>100000</v>
      </c>
      <c r="N38">
        <v>1500</v>
      </c>
    </row>
    <row r="39" spans="1:14" x14ac:dyDescent="0.3">
      <c r="A39" t="s">
        <v>65</v>
      </c>
      <c r="B39" t="s">
        <v>66</v>
      </c>
      <c r="C39" t="s">
        <v>67</v>
      </c>
      <c r="D39" t="s">
        <v>27</v>
      </c>
      <c r="E39" t="s">
        <v>68</v>
      </c>
      <c r="F39" t="s">
        <v>18</v>
      </c>
      <c r="G39">
        <v>275</v>
      </c>
      <c r="H39" t="s">
        <v>19</v>
      </c>
      <c r="I39">
        <v>2013</v>
      </c>
      <c r="J39">
        <f t="shared" si="1"/>
        <v>2043</v>
      </c>
      <c r="K39">
        <v>-26.464624440000001</v>
      </c>
      <c r="L39">
        <v>-46.530124440000002</v>
      </c>
      <c r="M39">
        <v>80000</v>
      </c>
      <c r="N39">
        <v>2000</v>
      </c>
    </row>
    <row r="40" spans="1:14" x14ac:dyDescent="0.3">
      <c r="A40" t="s">
        <v>116</v>
      </c>
      <c r="B40" t="s">
        <v>117</v>
      </c>
      <c r="C40" t="s">
        <v>113</v>
      </c>
      <c r="D40" t="s">
        <v>16</v>
      </c>
      <c r="E40" t="s">
        <v>114</v>
      </c>
      <c r="F40" t="s">
        <v>18</v>
      </c>
      <c r="G40">
        <v>1165</v>
      </c>
      <c r="H40" t="s">
        <v>19</v>
      </c>
      <c r="I40">
        <v>2013</v>
      </c>
      <c r="J40">
        <f t="shared" si="1"/>
        <v>2043</v>
      </c>
      <c r="K40">
        <v>-23.513963329999999</v>
      </c>
      <c r="L40">
        <v>-41.064618330000002</v>
      </c>
      <c r="M40">
        <v>140000</v>
      </c>
      <c r="N40">
        <v>1000</v>
      </c>
    </row>
    <row r="41" spans="1:14" x14ac:dyDescent="0.3">
      <c r="A41" t="s">
        <v>160</v>
      </c>
      <c r="B41" t="s">
        <v>161</v>
      </c>
      <c r="C41" t="s">
        <v>151</v>
      </c>
      <c r="D41" t="s">
        <v>27</v>
      </c>
      <c r="E41" t="s">
        <v>32</v>
      </c>
      <c r="F41" t="s">
        <v>18</v>
      </c>
      <c r="G41">
        <v>2140</v>
      </c>
      <c r="H41" t="s">
        <v>19</v>
      </c>
      <c r="I41">
        <v>2013</v>
      </c>
      <c r="J41">
        <f t="shared" si="1"/>
        <v>2043</v>
      </c>
      <c r="K41">
        <v>-25.799334170000002</v>
      </c>
      <c r="L41">
        <v>-43.262839169999999</v>
      </c>
      <c r="M41">
        <v>120000</v>
      </c>
      <c r="N41">
        <v>5000</v>
      </c>
    </row>
    <row r="42" spans="1:14" x14ac:dyDescent="0.3">
      <c r="A42" t="s">
        <v>95</v>
      </c>
      <c r="B42" t="s">
        <v>96</v>
      </c>
      <c r="C42" t="s">
        <v>97</v>
      </c>
      <c r="D42" t="s">
        <v>16</v>
      </c>
      <c r="E42" t="s">
        <v>32</v>
      </c>
      <c r="F42" t="s">
        <v>18</v>
      </c>
      <c r="G42">
        <v>1399</v>
      </c>
      <c r="H42" t="s">
        <v>19</v>
      </c>
      <c r="I42">
        <v>2014</v>
      </c>
      <c r="J42">
        <f t="shared" si="1"/>
        <v>2044</v>
      </c>
      <c r="K42">
        <v>-21.215084170000001</v>
      </c>
      <c r="L42">
        <v>-39.99736472</v>
      </c>
      <c r="M42">
        <v>180018</v>
      </c>
      <c r="N42">
        <v>6000</v>
      </c>
    </row>
    <row r="43" spans="1:14" x14ac:dyDescent="0.3">
      <c r="A43" t="s">
        <v>111</v>
      </c>
      <c r="B43" t="s">
        <v>112</v>
      </c>
      <c r="C43" t="s">
        <v>113</v>
      </c>
      <c r="D43" t="s">
        <v>16</v>
      </c>
      <c r="E43" t="s">
        <v>114</v>
      </c>
      <c r="F43" t="s">
        <v>115</v>
      </c>
      <c r="G43">
        <v>1185</v>
      </c>
      <c r="H43" t="s">
        <v>24</v>
      </c>
      <c r="I43">
        <v>2014</v>
      </c>
      <c r="J43">
        <f t="shared" si="1"/>
        <v>2044</v>
      </c>
      <c r="K43">
        <v>-23.516038890000001</v>
      </c>
      <c r="L43">
        <v>-41.0612925</v>
      </c>
    </row>
    <row r="44" spans="1:14" x14ac:dyDescent="0.3">
      <c r="A44" t="s">
        <v>149</v>
      </c>
      <c r="B44" t="s">
        <v>150</v>
      </c>
      <c r="C44" t="s">
        <v>151</v>
      </c>
      <c r="D44" t="s">
        <v>27</v>
      </c>
      <c r="E44" t="s">
        <v>32</v>
      </c>
      <c r="F44" t="s">
        <v>18</v>
      </c>
      <c r="G44">
        <v>2140</v>
      </c>
      <c r="H44" t="s">
        <v>19</v>
      </c>
      <c r="I44">
        <v>2014</v>
      </c>
      <c r="J44">
        <f t="shared" si="1"/>
        <v>2044</v>
      </c>
      <c r="K44">
        <v>-25.67280556</v>
      </c>
      <c r="L44">
        <v>-43.206191670000003</v>
      </c>
      <c r="M44">
        <v>150000</v>
      </c>
      <c r="N44">
        <v>6000</v>
      </c>
    </row>
    <row r="45" spans="1:14" x14ac:dyDescent="0.3">
      <c r="A45" t="s">
        <v>208</v>
      </c>
      <c r="B45" t="s">
        <v>209</v>
      </c>
      <c r="C45" t="s">
        <v>207</v>
      </c>
      <c r="D45" t="s">
        <v>16</v>
      </c>
      <c r="E45" t="s">
        <v>32</v>
      </c>
      <c r="F45" t="s">
        <v>76</v>
      </c>
      <c r="G45">
        <v>1795</v>
      </c>
      <c r="H45" t="s">
        <v>24</v>
      </c>
      <c r="I45">
        <v>2014</v>
      </c>
      <c r="J45">
        <f t="shared" si="1"/>
        <v>2044</v>
      </c>
      <c r="K45">
        <v>-21.993219719999999</v>
      </c>
      <c r="L45">
        <v>-39.739538889999999</v>
      </c>
      <c r="M45">
        <v>180000</v>
      </c>
      <c r="N45">
        <v>4000</v>
      </c>
    </row>
    <row r="46" spans="1:14" x14ac:dyDescent="0.3">
      <c r="A46" t="s">
        <v>210</v>
      </c>
      <c r="B46" t="s">
        <v>211</v>
      </c>
      <c r="C46" t="s">
        <v>207</v>
      </c>
      <c r="D46" t="s">
        <v>16</v>
      </c>
      <c r="E46" t="s">
        <v>32</v>
      </c>
      <c r="F46" t="s">
        <v>18</v>
      </c>
      <c r="G46">
        <v>1580</v>
      </c>
      <c r="H46" t="s">
        <v>19</v>
      </c>
      <c r="I46">
        <v>2014</v>
      </c>
      <c r="J46">
        <f t="shared" si="1"/>
        <v>2044</v>
      </c>
      <c r="K46">
        <v>-21.94083333</v>
      </c>
      <c r="L46">
        <v>-39.78611111</v>
      </c>
      <c r="M46">
        <v>180000</v>
      </c>
      <c r="N46">
        <v>6000</v>
      </c>
    </row>
    <row r="47" spans="1:14" x14ac:dyDescent="0.3">
      <c r="A47" t="s">
        <v>220</v>
      </c>
      <c r="B47" t="s">
        <v>221</v>
      </c>
      <c r="C47" t="s">
        <v>219</v>
      </c>
      <c r="D47" t="s">
        <v>27</v>
      </c>
      <c r="E47" t="s">
        <v>32</v>
      </c>
      <c r="F47" t="s">
        <v>18</v>
      </c>
      <c r="G47">
        <v>2200</v>
      </c>
      <c r="H47" t="s">
        <v>19</v>
      </c>
      <c r="I47">
        <v>2014</v>
      </c>
      <c r="J47">
        <f t="shared" si="1"/>
        <v>2044</v>
      </c>
      <c r="K47">
        <v>-25.204077779999999</v>
      </c>
      <c r="L47">
        <v>-42.878563890000002</v>
      </c>
      <c r="M47">
        <v>150955</v>
      </c>
      <c r="N47">
        <v>8000</v>
      </c>
    </row>
    <row r="48" spans="1:14" x14ac:dyDescent="0.3">
      <c r="A48" t="s">
        <v>217</v>
      </c>
      <c r="B48" t="s">
        <v>218</v>
      </c>
      <c r="C48" t="s">
        <v>219</v>
      </c>
      <c r="D48" t="s">
        <v>27</v>
      </c>
      <c r="E48" t="s">
        <v>32</v>
      </c>
      <c r="F48" t="s">
        <v>18</v>
      </c>
      <c r="G48">
        <v>2240</v>
      </c>
      <c r="H48" t="s">
        <v>19</v>
      </c>
      <c r="I48">
        <v>2015</v>
      </c>
      <c r="J48">
        <f t="shared" si="1"/>
        <v>2045</v>
      </c>
      <c r="K48">
        <v>-25.14156917</v>
      </c>
      <c r="L48">
        <v>-42.94469694</v>
      </c>
      <c r="M48">
        <v>150955</v>
      </c>
      <c r="N48">
        <v>8000</v>
      </c>
    </row>
    <row r="49" spans="1:14" x14ac:dyDescent="0.3">
      <c r="A49" t="s">
        <v>44</v>
      </c>
      <c r="B49" t="s">
        <v>45</v>
      </c>
      <c r="C49" t="s">
        <v>46</v>
      </c>
      <c r="D49" t="s">
        <v>27</v>
      </c>
      <c r="E49" t="s">
        <v>47</v>
      </c>
      <c r="F49" t="s">
        <v>18</v>
      </c>
      <c r="G49">
        <v>2140</v>
      </c>
      <c r="H49" t="s">
        <v>19</v>
      </c>
      <c r="I49">
        <v>2016</v>
      </c>
      <c r="J49">
        <f t="shared" si="1"/>
        <v>2046</v>
      </c>
      <c r="K49">
        <v>-25.51872556</v>
      </c>
      <c r="L49">
        <v>-43.46654667</v>
      </c>
      <c r="M49">
        <v>120764</v>
      </c>
      <c r="N49">
        <v>4739</v>
      </c>
    </row>
    <row r="50" spans="1:14" x14ac:dyDescent="0.3">
      <c r="A50" t="s">
        <v>172</v>
      </c>
      <c r="B50" t="s">
        <v>173</v>
      </c>
      <c r="C50" t="s">
        <v>169</v>
      </c>
      <c r="D50" t="s">
        <v>27</v>
      </c>
      <c r="E50" t="s">
        <v>32</v>
      </c>
      <c r="F50" t="s">
        <v>18</v>
      </c>
      <c r="G50">
        <v>2120</v>
      </c>
      <c r="H50" t="s">
        <v>19</v>
      </c>
      <c r="I50">
        <v>2016</v>
      </c>
      <c r="J50">
        <f t="shared" si="1"/>
        <v>2046</v>
      </c>
      <c r="K50">
        <v>-25.491267499999999</v>
      </c>
      <c r="L50">
        <v>-42.781263060000001</v>
      </c>
      <c r="M50">
        <v>150000</v>
      </c>
      <c r="N50">
        <v>6000</v>
      </c>
    </row>
    <row r="51" spans="1:14" x14ac:dyDescent="0.3">
      <c r="A51" t="s">
        <v>174</v>
      </c>
      <c r="B51" t="s">
        <v>175</v>
      </c>
      <c r="C51" t="s">
        <v>169</v>
      </c>
      <c r="D51" t="s">
        <v>27</v>
      </c>
      <c r="E51" t="s">
        <v>32</v>
      </c>
      <c r="F51" t="s">
        <v>18</v>
      </c>
      <c r="G51">
        <v>2120</v>
      </c>
      <c r="H51" t="s">
        <v>19</v>
      </c>
      <c r="I51">
        <v>2016</v>
      </c>
      <c r="J51">
        <f t="shared" si="1"/>
        <v>2046</v>
      </c>
      <c r="K51">
        <v>-25.448848609999999</v>
      </c>
      <c r="L51">
        <v>-42.753071939999998</v>
      </c>
      <c r="M51">
        <v>150000</v>
      </c>
      <c r="N51">
        <v>6000</v>
      </c>
    </row>
    <row r="52" spans="1:14" x14ac:dyDescent="0.3">
      <c r="A52" t="s">
        <v>59</v>
      </c>
      <c r="B52" t="s">
        <v>60</v>
      </c>
      <c r="C52" t="s">
        <v>52</v>
      </c>
      <c r="D52" t="s">
        <v>27</v>
      </c>
      <c r="E52" t="s">
        <v>32</v>
      </c>
      <c r="F52" t="s">
        <v>18</v>
      </c>
      <c r="G52">
        <v>2040</v>
      </c>
      <c r="H52" t="s">
        <v>19</v>
      </c>
      <c r="I52">
        <v>2017</v>
      </c>
      <c r="J52">
        <f t="shared" si="1"/>
        <v>2047</v>
      </c>
      <c r="K52">
        <v>-24.540049719999999</v>
      </c>
      <c r="L52">
        <v>-42.131843609999997</v>
      </c>
      <c r="M52">
        <v>50318</v>
      </c>
      <c r="N52">
        <v>4000</v>
      </c>
    </row>
    <row r="53" spans="1:14" x14ac:dyDescent="0.3">
      <c r="A53" t="s">
        <v>170</v>
      </c>
      <c r="B53" t="s">
        <v>171</v>
      </c>
      <c r="C53" t="s">
        <v>169</v>
      </c>
      <c r="D53" t="s">
        <v>27</v>
      </c>
      <c r="E53" t="s">
        <v>32</v>
      </c>
      <c r="F53" t="s">
        <v>18</v>
      </c>
      <c r="G53">
        <v>2150</v>
      </c>
      <c r="H53" t="s">
        <v>19</v>
      </c>
      <c r="I53">
        <v>2017</v>
      </c>
      <c r="J53">
        <f t="shared" si="1"/>
        <v>2047</v>
      </c>
      <c r="K53">
        <v>-25.60281861</v>
      </c>
      <c r="L53">
        <v>-42.820657500000003</v>
      </c>
      <c r="M53">
        <v>150955</v>
      </c>
      <c r="N53">
        <v>6000</v>
      </c>
    </row>
    <row r="54" spans="1:14" x14ac:dyDescent="0.3">
      <c r="A54" t="s">
        <v>77</v>
      </c>
      <c r="B54" t="s">
        <v>78</v>
      </c>
      <c r="C54" t="s">
        <v>79</v>
      </c>
      <c r="D54" t="s">
        <v>27</v>
      </c>
      <c r="E54" t="s">
        <v>32</v>
      </c>
      <c r="F54" t="s">
        <v>18</v>
      </c>
      <c r="G54">
        <v>2280</v>
      </c>
      <c r="H54" t="s">
        <v>19</v>
      </c>
      <c r="I54">
        <v>2018</v>
      </c>
      <c r="J54">
        <f t="shared" si="1"/>
        <v>2048</v>
      </c>
      <c r="K54">
        <v>-25.022952780000001</v>
      </c>
      <c r="L54">
        <v>-42.667788889999997</v>
      </c>
      <c r="M54">
        <v>163000</v>
      </c>
      <c r="N54">
        <v>6000</v>
      </c>
    </row>
    <row r="55" spans="1:14" x14ac:dyDescent="0.3">
      <c r="A55" t="s">
        <v>80</v>
      </c>
      <c r="B55" t="s">
        <v>81</v>
      </c>
      <c r="C55" t="s">
        <v>82</v>
      </c>
      <c r="D55" t="s">
        <v>16</v>
      </c>
      <c r="E55" t="s">
        <v>32</v>
      </c>
      <c r="F55" t="s">
        <v>18</v>
      </c>
      <c r="G55">
        <v>765</v>
      </c>
      <c r="H55" t="s">
        <v>19</v>
      </c>
      <c r="I55">
        <v>2018</v>
      </c>
      <c r="J55">
        <f t="shared" si="1"/>
        <v>2048</v>
      </c>
      <c r="K55">
        <v>-22.953379170000002</v>
      </c>
      <c r="L55">
        <v>-40.725546110000003</v>
      </c>
      <c r="M55">
        <v>150000</v>
      </c>
      <c r="N55">
        <v>3300</v>
      </c>
    </row>
    <row r="56" spans="1:14" x14ac:dyDescent="0.3">
      <c r="A56" t="s">
        <v>103</v>
      </c>
      <c r="B56" t="s">
        <v>104</v>
      </c>
      <c r="C56" t="s">
        <v>100</v>
      </c>
      <c r="D56" t="s">
        <v>27</v>
      </c>
      <c r="E56" t="s">
        <v>32</v>
      </c>
      <c r="F56" t="s">
        <v>18</v>
      </c>
      <c r="G56">
        <v>2025</v>
      </c>
      <c r="H56" t="s">
        <v>19</v>
      </c>
      <c r="I56">
        <v>2018</v>
      </c>
      <c r="J56">
        <f t="shared" si="1"/>
        <v>2048</v>
      </c>
      <c r="K56">
        <v>-24.688980560000001</v>
      </c>
      <c r="L56">
        <v>-42.50583056</v>
      </c>
      <c r="M56">
        <v>169000</v>
      </c>
      <c r="N56">
        <v>7000</v>
      </c>
    </row>
    <row r="57" spans="1:14" x14ac:dyDescent="0.3">
      <c r="A57" t="s">
        <v>105</v>
      </c>
      <c r="B57" t="s">
        <v>106</v>
      </c>
      <c r="C57" t="s">
        <v>100</v>
      </c>
      <c r="D57" t="s">
        <v>27</v>
      </c>
      <c r="E57" t="s">
        <v>32</v>
      </c>
      <c r="F57" t="s">
        <v>18</v>
      </c>
      <c r="G57">
        <v>2015</v>
      </c>
      <c r="H57" t="s">
        <v>19</v>
      </c>
      <c r="I57">
        <v>2018</v>
      </c>
      <c r="J57">
        <f t="shared" si="1"/>
        <v>2048</v>
      </c>
      <c r="K57">
        <v>-24.789014720000001</v>
      </c>
      <c r="L57">
        <v>-42.509736109999999</v>
      </c>
      <c r="M57">
        <v>169000</v>
      </c>
      <c r="N57">
        <v>7000</v>
      </c>
    </row>
    <row r="58" spans="1:14" x14ac:dyDescent="0.3">
      <c r="A58" t="s">
        <v>109</v>
      </c>
      <c r="B58" t="s">
        <v>110</v>
      </c>
      <c r="C58" t="s">
        <v>100</v>
      </c>
      <c r="D58" t="s">
        <v>27</v>
      </c>
      <c r="E58" t="s">
        <v>32</v>
      </c>
      <c r="F58" t="s">
        <v>18</v>
      </c>
      <c r="G58">
        <v>1950</v>
      </c>
      <c r="H58" t="s">
        <v>19</v>
      </c>
      <c r="I58">
        <v>2018</v>
      </c>
      <c r="J58">
        <f t="shared" si="1"/>
        <v>2048</v>
      </c>
      <c r="K58">
        <v>-24.648065559999999</v>
      </c>
      <c r="L58">
        <v>-42.517814440000002</v>
      </c>
      <c r="M58">
        <v>154000</v>
      </c>
      <c r="N58">
        <v>7000</v>
      </c>
    </row>
    <row r="59" spans="1:14" x14ac:dyDescent="0.3">
      <c r="A59" t="s">
        <v>167</v>
      </c>
      <c r="B59" t="s">
        <v>168</v>
      </c>
      <c r="C59" t="s">
        <v>169</v>
      </c>
      <c r="D59" t="s">
        <v>27</v>
      </c>
      <c r="E59" t="s">
        <v>32</v>
      </c>
      <c r="F59" t="s">
        <v>18</v>
      </c>
      <c r="G59">
        <v>2170</v>
      </c>
      <c r="H59" t="s">
        <v>19</v>
      </c>
      <c r="I59">
        <v>2018</v>
      </c>
      <c r="J59">
        <f t="shared" si="1"/>
        <v>2048</v>
      </c>
      <c r="K59">
        <v>-25.657928890000001</v>
      </c>
      <c r="L59">
        <v>-42.859443059999997</v>
      </c>
      <c r="M59">
        <v>173000</v>
      </c>
      <c r="N59">
        <v>6000</v>
      </c>
    </row>
    <row r="60" spans="1:14" x14ac:dyDescent="0.3">
      <c r="A60" t="s">
        <v>176</v>
      </c>
      <c r="B60" t="s">
        <v>177</v>
      </c>
      <c r="C60" t="s">
        <v>169</v>
      </c>
      <c r="D60" t="s">
        <v>27</v>
      </c>
      <c r="E60" t="s">
        <v>32</v>
      </c>
      <c r="F60" t="s">
        <v>18</v>
      </c>
      <c r="G60">
        <v>2130</v>
      </c>
      <c r="H60" t="s">
        <v>19</v>
      </c>
      <c r="I60">
        <v>2018</v>
      </c>
      <c r="J60">
        <f t="shared" si="1"/>
        <v>2048</v>
      </c>
      <c r="K60">
        <v>-25.329871390000001</v>
      </c>
      <c r="L60">
        <v>-42.692657500000003</v>
      </c>
      <c r="M60">
        <v>150950</v>
      </c>
      <c r="N60">
        <v>6000</v>
      </c>
    </row>
    <row r="61" spans="1:14" x14ac:dyDescent="0.3">
      <c r="A61" t="s">
        <v>98</v>
      </c>
      <c r="B61" t="s">
        <v>99</v>
      </c>
      <c r="C61" t="s">
        <v>100</v>
      </c>
      <c r="D61" t="s">
        <v>27</v>
      </c>
      <c r="E61" t="s">
        <v>32</v>
      </c>
      <c r="F61" t="s">
        <v>18</v>
      </c>
      <c r="G61">
        <v>1980</v>
      </c>
      <c r="H61" t="s">
        <v>19</v>
      </c>
      <c r="I61">
        <v>2019</v>
      </c>
      <c r="J61">
        <f t="shared" si="1"/>
        <v>2049</v>
      </c>
      <c r="K61">
        <v>-24.63649611</v>
      </c>
      <c r="L61">
        <v>-42.411989720000001</v>
      </c>
      <c r="M61">
        <v>169000</v>
      </c>
      <c r="N61">
        <v>7000</v>
      </c>
    </row>
    <row r="62" spans="1:14" x14ac:dyDescent="0.3">
      <c r="A62" t="s">
        <v>118</v>
      </c>
      <c r="B62" t="s">
        <v>119</v>
      </c>
      <c r="C62" t="s">
        <v>120</v>
      </c>
      <c r="D62" t="s">
        <v>27</v>
      </c>
      <c r="E62" t="s">
        <v>32</v>
      </c>
      <c r="F62" t="s">
        <v>18</v>
      </c>
      <c r="G62">
        <v>2288</v>
      </c>
      <c r="H62" t="s">
        <v>19</v>
      </c>
      <c r="I62">
        <v>2020</v>
      </c>
      <c r="J62">
        <f t="shared" si="1"/>
        <v>2050</v>
      </c>
      <c r="K62">
        <v>-24.952070559999999</v>
      </c>
      <c r="L62">
        <v>-42.468380000000003</v>
      </c>
      <c r="M62">
        <v>161000</v>
      </c>
      <c r="N62">
        <v>6000</v>
      </c>
    </row>
    <row r="63" spans="1:14" x14ac:dyDescent="0.3">
      <c r="A63" t="s">
        <v>20</v>
      </c>
      <c r="B63" t="s">
        <v>21</v>
      </c>
      <c r="C63" t="s">
        <v>22</v>
      </c>
      <c r="D63" t="s">
        <v>16</v>
      </c>
      <c r="E63" t="s">
        <v>17</v>
      </c>
      <c r="F63" t="s">
        <v>23</v>
      </c>
      <c r="G63">
        <v>121</v>
      </c>
      <c r="H63" t="s">
        <v>24</v>
      </c>
      <c r="I63">
        <v>2021</v>
      </c>
      <c r="J63">
        <f t="shared" si="1"/>
        <v>2051</v>
      </c>
      <c r="K63">
        <v>-23.348193330000001</v>
      </c>
      <c r="L63">
        <v>-41.408774440000002</v>
      </c>
    </row>
    <row r="64" spans="1:14" x14ac:dyDescent="0.3">
      <c r="A64" t="s">
        <v>50</v>
      </c>
      <c r="B64" t="s">
        <v>51</v>
      </c>
      <c r="C64" t="s">
        <v>52</v>
      </c>
      <c r="D64" t="s">
        <v>27</v>
      </c>
      <c r="E64" t="s">
        <v>32</v>
      </c>
      <c r="F64" t="s">
        <v>18</v>
      </c>
      <c r="G64">
        <v>1930</v>
      </c>
      <c r="H64" t="s">
        <v>19</v>
      </c>
      <c r="I64">
        <v>2021</v>
      </c>
      <c r="J64">
        <f t="shared" si="1"/>
        <v>2051</v>
      </c>
      <c r="K64">
        <v>-24.58365556</v>
      </c>
      <c r="L64">
        <v>-42.256266670000002</v>
      </c>
      <c r="M64">
        <v>190000</v>
      </c>
      <c r="N64">
        <v>12000</v>
      </c>
    </row>
    <row r="65" spans="1:14" x14ac:dyDescent="0.3">
      <c r="A65" t="s">
        <v>69</v>
      </c>
      <c r="B65" t="s">
        <v>70</v>
      </c>
      <c r="C65" t="s">
        <v>71</v>
      </c>
      <c r="D65" t="s">
        <v>27</v>
      </c>
      <c r="E65" t="s">
        <v>32</v>
      </c>
      <c r="F65" t="s">
        <v>18</v>
      </c>
      <c r="G65">
        <v>2140</v>
      </c>
      <c r="H65" t="s">
        <v>19</v>
      </c>
      <c r="I65">
        <v>2021</v>
      </c>
      <c r="J65">
        <f t="shared" si="1"/>
        <v>2051</v>
      </c>
      <c r="K65">
        <v>-25.22704306</v>
      </c>
      <c r="L65">
        <v>-42.570252500000002</v>
      </c>
      <c r="M65">
        <v>180000</v>
      </c>
      <c r="N65">
        <v>6091</v>
      </c>
    </row>
    <row r="66" spans="1:14" x14ac:dyDescent="0.3">
      <c r="A66" t="s">
        <v>34</v>
      </c>
      <c r="B66" t="s">
        <v>35</v>
      </c>
      <c r="C66" t="s">
        <v>36</v>
      </c>
      <c r="D66" t="s">
        <v>16</v>
      </c>
      <c r="E66" t="s">
        <v>32</v>
      </c>
      <c r="F66" t="s">
        <v>18</v>
      </c>
      <c r="G66">
        <v>670</v>
      </c>
      <c r="H66" t="s">
        <v>33</v>
      </c>
      <c r="I66">
        <v>2023</v>
      </c>
      <c r="J66">
        <f t="shared" ref="J66:J97" si="2">I66+30</f>
        <v>2053</v>
      </c>
      <c r="K66">
        <v>-22.395836389999999</v>
      </c>
      <c r="L66">
        <v>-40.10831417</v>
      </c>
      <c r="M66">
        <v>80000</v>
      </c>
      <c r="N66">
        <v>6622</v>
      </c>
    </row>
    <row r="67" spans="1:14" x14ac:dyDescent="0.3">
      <c r="A67" t="s">
        <v>37</v>
      </c>
      <c r="B67" t="s">
        <v>38</v>
      </c>
      <c r="C67" t="s">
        <v>39</v>
      </c>
      <c r="D67" t="s">
        <v>27</v>
      </c>
      <c r="E67" t="s">
        <v>32</v>
      </c>
      <c r="F67" t="s">
        <v>18</v>
      </c>
      <c r="G67">
        <v>2010</v>
      </c>
      <c r="H67" t="s">
        <v>19</v>
      </c>
      <c r="I67">
        <v>2023</v>
      </c>
      <c r="J67">
        <f t="shared" si="2"/>
        <v>2053</v>
      </c>
      <c r="K67">
        <v>-24.777175</v>
      </c>
      <c r="L67">
        <v>-42.720583329999997</v>
      </c>
      <c r="M67">
        <v>150955</v>
      </c>
      <c r="N67">
        <v>6000</v>
      </c>
    </row>
    <row r="68" spans="1:14" x14ac:dyDescent="0.3">
      <c r="A68" t="s">
        <v>57</v>
      </c>
      <c r="B68" t="s">
        <v>58</v>
      </c>
      <c r="C68" t="s">
        <v>52</v>
      </c>
      <c r="D68" t="s">
        <v>27</v>
      </c>
      <c r="E68" t="s">
        <v>32</v>
      </c>
      <c r="F68" t="s">
        <v>18</v>
      </c>
      <c r="G68">
        <v>2000</v>
      </c>
      <c r="H68" t="s">
        <v>19</v>
      </c>
      <c r="I68">
        <v>2023</v>
      </c>
      <c r="J68">
        <f t="shared" si="2"/>
        <v>2053</v>
      </c>
      <c r="K68">
        <v>-24.630814440000002</v>
      </c>
      <c r="L68">
        <v>-42.264458060000003</v>
      </c>
      <c r="M68">
        <v>190000</v>
      </c>
      <c r="N68">
        <v>12000</v>
      </c>
    </row>
    <row r="69" spans="1:14" x14ac:dyDescent="0.3">
      <c r="A69" t="s">
        <v>107</v>
      </c>
      <c r="B69" t="s">
        <v>108</v>
      </c>
      <c r="C69" t="s">
        <v>100</v>
      </c>
      <c r="D69" t="s">
        <v>27</v>
      </c>
      <c r="E69" t="s">
        <v>32</v>
      </c>
      <c r="F69" t="s">
        <v>18</v>
      </c>
      <c r="G69">
        <v>1900</v>
      </c>
      <c r="H69" t="s">
        <v>19</v>
      </c>
      <c r="I69">
        <v>2023</v>
      </c>
      <c r="J69">
        <f t="shared" si="2"/>
        <v>2053</v>
      </c>
      <c r="K69">
        <v>-24.592532500000001</v>
      </c>
      <c r="L69">
        <v>-42.567251669999997</v>
      </c>
      <c r="M69">
        <v>173640</v>
      </c>
      <c r="N69">
        <v>6291</v>
      </c>
    </row>
    <row r="70" spans="1:14" x14ac:dyDescent="0.3">
      <c r="A70" t="s">
        <v>227</v>
      </c>
      <c r="B70" t="s">
        <v>228</v>
      </c>
      <c r="C70" t="s">
        <v>229</v>
      </c>
      <c r="D70" t="s">
        <v>16</v>
      </c>
      <c r="E70" t="s">
        <v>32</v>
      </c>
      <c r="F70" t="s">
        <v>18</v>
      </c>
      <c r="G70">
        <v>927</v>
      </c>
      <c r="H70" t="s">
        <v>33</v>
      </c>
      <c r="I70">
        <v>2023</v>
      </c>
      <c r="J70">
        <f t="shared" si="2"/>
        <v>2053</v>
      </c>
      <c r="K70">
        <v>-22.463916390000001</v>
      </c>
      <c r="L70">
        <v>-40.057316669999999</v>
      </c>
      <c r="M70">
        <v>70000</v>
      </c>
      <c r="N70">
        <v>3792</v>
      </c>
    </row>
    <row r="71" spans="1:14" x14ac:dyDescent="0.3">
      <c r="A71" t="s">
        <v>29</v>
      </c>
      <c r="B71" t="s">
        <v>30</v>
      </c>
      <c r="C71" t="s">
        <v>31</v>
      </c>
      <c r="D71" t="s">
        <v>16</v>
      </c>
      <c r="E71" t="s">
        <v>32</v>
      </c>
      <c r="F71" t="s">
        <v>18</v>
      </c>
      <c r="G71">
        <v>1385</v>
      </c>
      <c r="H71" t="s">
        <v>33</v>
      </c>
      <c r="I71">
        <v>2024</v>
      </c>
      <c r="J71">
        <f t="shared" si="2"/>
        <v>2054</v>
      </c>
      <c r="K71">
        <v>-21.270038889999999</v>
      </c>
      <c r="L71">
        <v>-39.997622219999997</v>
      </c>
      <c r="M71">
        <v>100000</v>
      </c>
      <c r="N71">
        <v>5000</v>
      </c>
    </row>
    <row r="72" spans="1:14" x14ac:dyDescent="0.3">
      <c r="A72" t="s">
        <v>40</v>
      </c>
      <c r="B72" t="s">
        <v>41</v>
      </c>
      <c r="C72" t="s">
        <v>42</v>
      </c>
      <c r="D72" t="s">
        <v>27</v>
      </c>
      <c r="E72" t="s">
        <v>43</v>
      </c>
      <c r="F72" t="s">
        <v>18</v>
      </c>
      <c r="G72">
        <v>1550</v>
      </c>
      <c r="H72" t="s">
        <v>19</v>
      </c>
      <c r="I72">
        <v>2024</v>
      </c>
      <c r="J72">
        <f t="shared" si="2"/>
        <v>2054</v>
      </c>
      <c r="K72">
        <v>-24.099097220000001</v>
      </c>
      <c r="L72">
        <v>-41.88699167</v>
      </c>
      <c r="M72">
        <v>50000</v>
      </c>
      <c r="N72">
        <v>350</v>
      </c>
    </row>
    <row r="73" spans="1:14" x14ac:dyDescent="0.3">
      <c r="A73" t="s">
        <v>53</v>
      </c>
      <c r="B73" t="s">
        <v>54</v>
      </c>
      <c r="C73" t="s">
        <v>52</v>
      </c>
      <c r="D73" t="s">
        <v>27</v>
      </c>
      <c r="E73" t="s">
        <v>32</v>
      </c>
      <c r="F73" t="s">
        <v>18</v>
      </c>
      <c r="G73">
        <v>2070</v>
      </c>
      <c r="H73" t="s">
        <v>19</v>
      </c>
      <c r="I73">
        <v>2024</v>
      </c>
      <c r="J73">
        <f t="shared" si="2"/>
        <v>2054</v>
      </c>
      <c r="K73">
        <v>-24.686221669999998</v>
      </c>
      <c r="L73">
        <v>-42.293231939999998</v>
      </c>
      <c r="M73">
        <v>200000</v>
      </c>
      <c r="N73">
        <v>13500</v>
      </c>
    </row>
    <row r="74" spans="1:14" x14ac:dyDescent="0.3">
      <c r="A74" t="s">
        <v>25</v>
      </c>
      <c r="B74" t="s">
        <v>25</v>
      </c>
      <c r="C74" t="s">
        <v>26</v>
      </c>
      <c r="D74" t="s">
        <v>27</v>
      </c>
      <c r="E74" t="s">
        <v>28</v>
      </c>
      <c r="F74" t="s">
        <v>18</v>
      </c>
      <c r="G74">
        <v>2100</v>
      </c>
      <c r="H74" t="s">
        <v>19</v>
      </c>
      <c r="I74">
        <v>2025</v>
      </c>
      <c r="J74">
        <f t="shared" si="2"/>
        <v>2055</v>
      </c>
      <c r="K74">
        <v>-25.476063329999999</v>
      </c>
      <c r="L74">
        <v>-43.939068059999997</v>
      </c>
      <c r="M74">
        <v>220000</v>
      </c>
      <c r="N74">
        <v>15000</v>
      </c>
    </row>
    <row r="75" spans="1:14" x14ac:dyDescent="0.3">
      <c r="A75" t="s">
        <v>55</v>
      </c>
      <c r="B75" t="s">
        <v>56</v>
      </c>
      <c r="C75" t="s">
        <v>52</v>
      </c>
      <c r="D75" t="s">
        <v>27</v>
      </c>
      <c r="E75" t="s">
        <v>32</v>
      </c>
      <c r="F75" t="s">
        <v>18</v>
      </c>
      <c r="G75">
        <v>1890</v>
      </c>
      <c r="H75" t="s">
        <v>19</v>
      </c>
      <c r="I75">
        <v>2025</v>
      </c>
      <c r="J75">
        <f t="shared" si="2"/>
        <v>2055</v>
      </c>
      <c r="K75">
        <v>-24.55964917</v>
      </c>
      <c r="L75">
        <v>-42.188260829999997</v>
      </c>
      <c r="M75">
        <v>180000</v>
      </c>
      <c r="N75">
        <v>12000</v>
      </c>
    </row>
    <row r="76" spans="1:14" x14ac:dyDescent="0.3">
      <c r="A76" t="s">
        <v>101</v>
      </c>
      <c r="B76" t="s">
        <v>102</v>
      </c>
      <c r="C76" t="s">
        <v>100</v>
      </c>
      <c r="D76" t="s">
        <v>27</v>
      </c>
      <c r="E76" t="s">
        <v>32</v>
      </c>
      <c r="F76" t="s">
        <v>18</v>
      </c>
      <c r="G76">
        <v>1985</v>
      </c>
      <c r="H76" t="s">
        <v>19</v>
      </c>
      <c r="I76">
        <v>2025</v>
      </c>
      <c r="J76">
        <f t="shared" si="2"/>
        <v>2055</v>
      </c>
      <c r="K76">
        <v>-24.74358333</v>
      </c>
      <c r="L76">
        <v>-42.513319439999997</v>
      </c>
      <c r="M76">
        <v>225000</v>
      </c>
      <c r="N76">
        <v>12000</v>
      </c>
    </row>
  </sheetData>
  <sortState xmlns:xlrd2="http://schemas.microsoft.com/office/spreadsheetml/2017/richdata2" ref="A2:N76">
    <sortCondition ref="J1:J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Plataformas em Operação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Mauro Elsas</cp:lastModifiedBy>
  <dcterms:created xsi:type="dcterms:W3CDTF">2026-01-24T14:06:15Z</dcterms:created>
  <dcterms:modified xsi:type="dcterms:W3CDTF">2026-01-25T16:50:18Z</dcterms:modified>
</cp:coreProperties>
</file>